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d_OnePager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Transactions" sheetId="6" state="visible" r:id="rId6"/>
    <sheet xmlns:r="http://schemas.openxmlformats.org/officeDocument/2006/relationships" name="Holdings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Portfolio_History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Cashflow" sheetId="11" state="visible" r:id="rId11"/>
    <sheet xmlns:r="http://schemas.openxmlformats.org/officeDocument/2006/relationships" name="Summary" sheetId="12" state="visible" r:id="rId12"/>
    <sheet xmlns:r="http://schemas.openxmlformats.org/officeDocument/2006/relationships" name="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6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165" fontId="0" fillId="2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Allocation by Symbol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explosion val="10"/>
            <spPr>
              <a:ln xmlns:a="http://schemas.openxmlformats.org/drawingml/2006/main">
                <a:prstDash val="solid"/>
              </a:ln>
            </spPr>
          </dPt>
          <cat>
            <numRef>
              <f>'Dashboard'!$A$9:$A$10</f>
            </numRef>
          </cat>
          <val>
            <numRef>
              <f>'Dashboard'!$B$9:$B$10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Value — Last 120 Days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'Portfolio_History'!D1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'Portfolio_History'!$A$2:$A$122</f>
            </numRef>
          </cat>
          <val>
            <numRef>
              <f>'Portfolio_History'!$D$2:$D$122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Cashflow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'Cashflow'!B1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'Cashflow'!$A$2:$A$5</f>
            </numRef>
          </cat>
          <val>
            <numRef>
              <f>'Cashflow'!$B$2:$B$5</f>
            </numRef>
          </val>
        </ser>
        <ser>
          <idx val="1"/>
          <order val="1"/>
          <tx>
            <strRef>
              <f>'Cashflow'!C1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'Cashflow'!$A$2:$A$5</f>
            </numRef>
          </cat>
          <val>
            <numRef>
              <f>'Cashflow'!$C$2:$C$5</f>
            </numRef>
          </val>
        </ser>
        <ser>
          <idx val="2"/>
          <order val="2"/>
          <tx>
            <strRef>
              <f>'Cashflow'!D1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'Cashflow'!$A$2:$A$5</f>
            </numRef>
          </cat>
          <val>
            <numRef>
              <f>'Cashflow'!$D$2:$D$5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Year-Month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(Last 120 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'Performance'!$A$2:$A$3</f>
            </numRef>
          </cat>
          <val>
            <numRef>
              <f>'Performance'!$C$2:$C$3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29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ettings" displayName="tblSettings" ref="A1:B4" headerRowCount="1">
  <autoFilter ref="A1:B4"/>
  <tableColumns count="2">
    <tableColumn id="1" name="Setting"/>
    <tableColumn id="2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Accounts" displayName="tblAccounts" ref="A1:A5" headerRowCount="1">
  <autoFilter ref="A1:A5"/>
  <tableColumns count="1">
    <tableColumn id="1" name="Ac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Categories" displayName="tblCategories" ref="A1:B9" headerRowCount="1">
  <autoFilter ref="A1:B9"/>
  <tableColumns count="2">
    <tableColumn id="1" name="Type"/>
    <tableColumn id="2" name="Categor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Transactions" displayName="tblTransactions" ref="A1:G13" headerRowCount="1">
  <autoFilter ref="A1:G13"/>
  <tableColumns count="7">
    <tableColumn id="1" name="Date"/>
    <tableColumn id="2" name="Account"/>
    <tableColumn id="3" name="Type"/>
    <tableColumn id="4" name="Category"/>
    <tableColumn id="5" name="Subcategory"/>
    <tableColumn id="6" name="Description"/>
    <tableColumn id="7" name="Am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Holdings" displayName="tblHoldings" ref="A1:G3" headerRowCount="1">
  <autoFilter ref="A1:G3"/>
  <tableColumns count="7">
    <tableColumn id="1" name="Account"/>
    <tableColumn id="2" name="Symbol"/>
    <tableColumn id="3" name="Quantity"/>
    <tableColumn id="4" name="CostBasis"/>
    <tableColumn id="5" name="LatestPrice"/>
    <tableColumn id="6" name="MarketValue"/>
    <tableColumn id="7" name="UnrealizedGai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Prices" displayName="tblPrices" ref="A1:C243" headerRowCount="1">
  <autoFilter ref="A1:C243"/>
  <tableColumns count="3">
    <tableColumn id="1" name="Date"/>
    <tableColumn id="2" name="Symbol"/>
    <tableColumn id="3" name="Clos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PortfolioHistory" displayName="tblPortfolioHistory" ref="A1:D122" headerRowCount="1">
  <autoFilter ref="A1:D122"/>
  <tableColumns count="4">
    <tableColumn id="1" name="Date"/>
    <tableColumn id="2" name="FNGU_Value"/>
    <tableColumn id="3" name="SPY_Value"/>
    <tableColumn id="4" name="TotalValu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Performance" displayName="tblPerformance" ref="A1:E3" headerRowCount="1">
  <autoFilter ref="A1:E3"/>
  <tableColumns count="5">
    <tableColumn id="1" name="Symbol"/>
    <tableColumn id="2" name="LastPrice"/>
    <tableColumn id="3" name="Return_120D_%"/>
    <tableColumn id="4" name="Volatility_Ann_%"/>
    <tableColumn id="5" name="Max_Drawdown_%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Cashflow" displayName="tblCashflow" ref="A1:D5" headerRowCount="1">
  <autoFilter ref="A1:D5"/>
  <tableColumns count="4">
    <tableColumn id="1" name="YearMonth"/>
    <tableColumn id="2" name="Expense"/>
    <tableColumn id="3" name="Income"/>
    <tableColumn id="4" name="N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IntelIntent Investment Dashboard — Quick Start (v2)</t>
        </is>
      </c>
    </row>
    <row r="2">
      <c r="A2" t="inlineStr"/>
    </row>
    <row r="3">
      <c r="A3" t="inlineStr">
        <is>
          <t>1) Go to the Dashboard sheet to see allocation, trend, and cashflow.</t>
        </is>
      </c>
    </row>
    <row r="4">
      <c r="A4" t="inlineStr">
        <is>
          <t>2) Update Settings (Monthly Expense Baseline, SWR, Target Retirement Income).</t>
        </is>
      </c>
    </row>
    <row r="5">
      <c r="A5" t="inlineStr">
        <is>
          <t>3) Enter your holdings in Holdings; paste prices in Prices.</t>
        </is>
      </c>
    </row>
    <row r="6">
      <c r="A6" t="inlineStr">
        <is>
          <t>4) Add income/expenses in Transactions (positive = income, negative = expense).</t>
        </is>
      </c>
    </row>
    <row r="7">
      <c r="A7" t="inlineStr">
        <is>
          <t>5) Summary shows your Required Nest Egg and Funded Ratio.</t>
        </is>
      </c>
    </row>
    <row r="8">
      <c r="A8" t="inlineStr">
        <is>
          <t>Tip: Press F11 on Dashboard for full-screen TV mode.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</cols>
  <sheetData>
    <row r="1">
      <c r="A1" s="2" t="inlineStr">
        <is>
          <t>IntelIntent — Dad’s One Pager</t>
        </is>
      </c>
    </row>
    <row r="2"/>
    <row r="3">
      <c r="A3" s="3" t="inlineStr">
        <is>
          <t>What this is</t>
        </is>
      </c>
      <c r="B3" t="inlineStr">
        <is>
          <t>A living view of cashflow and portfolio readiness.</t>
        </is>
      </c>
    </row>
    <row r="4"/>
    <row r="5">
      <c r="A5" s="3" t="inlineStr">
        <is>
          <t>Look here first</t>
        </is>
      </c>
      <c r="B5" t="inlineStr">
        <is>
          <t>On Dashboard: Portfolio Value, Unrealized Gain, Funded Ratio.</t>
        </is>
      </c>
    </row>
    <row r="6"/>
    <row r="7">
      <c r="A7" s="3" t="inlineStr">
        <is>
          <t>Funded Ratio</t>
        </is>
      </c>
      <c r="B7" t="inlineStr">
        <is>
          <t>At 100%+, the portfolio can cover baseline spending at chosen SWR.</t>
        </is>
      </c>
    </row>
    <row r="8"/>
    <row r="9">
      <c r="A9" s="3" t="inlineStr">
        <is>
          <t>Update cadence</t>
        </is>
      </c>
      <c r="B9" t="inlineStr">
        <is>
          <t>Adjust Settings as life changes; paste transactions monthly; update prices weekly or on demand.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</cols>
  <sheetData>
    <row r="1">
      <c r="A1" s="3" t="inlineStr">
        <is>
          <t>Setting</t>
        </is>
      </c>
      <c r="B1" s="3" t="inlineStr">
        <is>
          <t>Value</t>
        </is>
      </c>
    </row>
    <row r="2">
      <c r="A2" t="inlineStr">
        <is>
          <t>Monthly_Expense_Baseline</t>
        </is>
      </c>
      <c r="B2" t="n">
        <v>4500</v>
      </c>
    </row>
    <row r="3">
      <c r="A3" t="inlineStr">
        <is>
          <t>Safe_Withdrawal_Rate_%</t>
        </is>
      </c>
      <c r="B3" t="n">
        <v>4</v>
      </c>
    </row>
    <row r="4">
      <c r="A4" t="inlineStr">
        <is>
          <t>Target_Retirement_Income_Monthly</t>
        </is>
      </c>
      <c r="B4" t="n">
        <v>6000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3" t="inlineStr">
        <is>
          <t>Account</t>
        </is>
      </c>
    </row>
    <row r="2">
      <c r="A2" t="inlineStr">
        <is>
          <t>Checking</t>
        </is>
      </c>
    </row>
    <row r="3">
      <c r="A3" t="inlineStr">
        <is>
          <t>Brokerage</t>
        </is>
      </c>
    </row>
    <row r="4">
      <c r="A4" t="inlineStr">
        <is>
          <t>IRA</t>
        </is>
      </c>
    </row>
    <row r="5">
      <c r="A5" t="inlineStr">
        <is>
          <t>Savings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</cols>
  <sheetData>
    <row r="1">
      <c r="A1" s="3" t="inlineStr">
        <is>
          <t>Type</t>
        </is>
      </c>
      <c r="B1" s="3" t="inlineStr">
        <is>
          <t>Category</t>
        </is>
      </c>
    </row>
    <row r="2">
      <c r="A2" t="inlineStr">
        <is>
          <t>Income</t>
        </is>
      </c>
      <c r="B2" t="inlineStr">
        <is>
          <t>Salary</t>
        </is>
      </c>
    </row>
    <row r="3">
      <c r="A3" t="inlineStr">
        <is>
          <t>Income</t>
        </is>
      </c>
      <c r="B3" t="inlineStr">
        <is>
          <t>Other</t>
        </is>
      </c>
    </row>
    <row r="4">
      <c r="A4" t="inlineStr">
        <is>
          <t>Expense</t>
        </is>
      </c>
      <c r="B4" t="inlineStr">
        <is>
          <t>Housing</t>
        </is>
      </c>
    </row>
    <row r="5">
      <c r="A5" t="inlineStr">
        <is>
          <t>Expense</t>
        </is>
      </c>
      <c r="B5" t="inlineStr">
        <is>
          <t>Utilities</t>
        </is>
      </c>
    </row>
    <row r="6">
      <c r="A6" t="inlineStr">
        <is>
          <t>Expense</t>
        </is>
      </c>
      <c r="B6" t="inlineStr">
        <is>
          <t>Food</t>
        </is>
      </c>
    </row>
    <row r="7">
      <c r="A7" t="inlineStr">
        <is>
          <t>Expense</t>
        </is>
      </c>
      <c r="B7" t="inlineStr">
        <is>
          <t>Transportation</t>
        </is>
      </c>
    </row>
    <row r="8">
      <c r="A8" t="inlineStr">
        <is>
          <t>Expense</t>
        </is>
      </c>
      <c r="B8" t="inlineStr">
        <is>
          <t>Healthcare</t>
        </is>
      </c>
    </row>
    <row r="9">
      <c r="A9" t="inlineStr">
        <is>
          <t>Expense</t>
        </is>
      </c>
      <c r="B9" t="inlineStr">
        <is>
          <t>Investment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2" customWidth="1" min="4" max="4"/>
    <col width="13" customWidth="1" min="5" max="5"/>
    <col width="18" customWidth="1" min="6" max="6"/>
    <col width="10" customWidth="1" min="7" max="7"/>
  </cols>
  <sheetData>
    <row r="1">
      <c r="A1" s="3" t="inlineStr">
        <is>
          <t>Date</t>
        </is>
      </c>
      <c r="B1" s="3" t="inlineStr">
        <is>
          <t>Account</t>
        </is>
      </c>
      <c r="C1" s="3" t="inlineStr">
        <is>
          <t>Type</t>
        </is>
      </c>
      <c r="D1" s="3" t="inlineStr">
        <is>
          <t>Category</t>
        </is>
      </c>
      <c r="E1" s="3" t="inlineStr">
        <is>
          <t>Subcategory</t>
        </is>
      </c>
      <c r="F1" s="3" t="inlineStr">
        <is>
          <t>Description</t>
        </is>
      </c>
      <c r="G1" s="3" t="inlineStr">
        <is>
          <t>Amount</t>
        </is>
      </c>
    </row>
    <row r="2">
      <c r="A2" s="4" t="n">
        <v>45803</v>
      </c>
      <c r="B2" t="inlineStr">
        <is>
          <t>Checking</t>
        </is>
      </c>
      <c r="C2" t="inlineStr">
        <is>
          <t>Income</t>
        </is>
      </c>
      <c r="D2" t="inlineStr">
        <is>
          <t>Salary</t>
        </is>
      </c>
      <c r="E2" t="inlineStr">
        <is>
          <t>Paycheck</t>
        </is>
      </c>
      <c r="F2" t="inlineStr">
        <is>
          <t>Monthly paycheck</t>
        </is>
      </c>
      <c r="G2" t="n">
        <v>6000</v>
      </c>
    </row>
    <row r="3">
      <c r="A3" s="4" t="n">
        <v>45808</v>
      </c>
      <c r="B3" t="inlineStr">
        <is>
          <t>Checking</t>
        </is>
      </c>
      <c r="C3" t="inlineStr">
        <is>
          <t>Expense</t>
        </is>
      </c>
      <c r="D3" t="inlineStr">
        <is>
          <t>Housing</t>
        </is>
      </c>
      <c r="E3" t="inlineStr">
        <is>
          <t>Rent</t>
        </is>
      </c>
      <c r="F3" t="inlineStr">
        <is>
          <t>May rent</t>
        </is>
      </c>
      <c r="G3" t="n">
        <v>-1800</v>
      </c>
    </row>
    <row r="4">
      <c r="A4" s="4" t="n">
        <v>45810</v>
      </c>
      <c r="B4" t="inlineStr">
        <is>
          <t>Checking</t>
        </is>
      </c>
      <c r="C4" t="inlineStr">
        <is>
          <t>Expense</t>
        </is>
      </c>
      <c r="D4" t="inlineStr">
        <is>
          <t>Utilities</t>
        </is>
      </c>
      <c r="E4" t="inlineStr">
        <is>
          <t>Electric</t>
        </is>
      </c>
      <c r="F4" t="inlineStr">
        <is>
          <t>TXU bill</t>
        </is>
      </c>
      <c r="G4" t="n">
        <v>-210.45</v>
      </c>
    </row>
    <row r="5">
      <c r="A5" s="4" t="n">
        <v>45833</v>
      </c>
      <c r="B5" t="inlineStr">
        <is>
          <t>Checking</t>
        </is>
      </c>
      <c r="C5" t="inlineStr">
        <is>
          <t>Income</t>
        </is>
      </c>
      <c r="D5" t="inlineStr">
        <is>
          <t>Salary</t>
        </is>
      </c>
      <c r="E5" t="inlineStr">
        <is>
          <t>Paycheck</t>
        </is>
      </c>
      <c r="F5" t="inlineStr">
        <is>
          <t>Monthly paycheck</t>
        </is>
      </c>
      <c r="G5" t="n">
        <v>6000</v>
      </c>
    </row>
    <row r="6">
      <c r="A6" s="4" t="n">
        <v>45838</v>
      </c>
      <c r="B6" t="inlineStr">
        <is>
          <t>Checking</t>
        </is>
      </c>
      <c r="C6" t="inlineStr">
        <is>
          <t>Expense</t>
        </is>
      </c>
      <c r="D6" t="inlineStr">
        <is>
          <t>Housing</t>
        </is>
      </c>
      <c r="E6" t="inlineStr">
        <is>
          <t>Rent</t>
        </is>
      </c>
      <c r="F6" t="inlineStr">
        <is>
          <t>June rent</t>
        </is>
      </c>
      <c r="G6" t="n">
        <v>-1800</v>
      </c>
    </row>
    <row r="7">
      <c r="A7" s="4" t="n">
        <v>45840</v>
      </c>
      <c r="B7" t="inlineStr">
        <is>
          <t>Checking</t>
        </is>
      </c>
      <c r="C7" t="inlineStr">
        <is>
          <t>Expense</t>
        </is>
      </c>
      <c r="D7" t="inlineStr">
        <is>
          <t>Food</t>
        </is>
      </c>
      <c r="E7" t="inlineStr">
        <is>
          <t>Groceries</t>
        </is>
      </c>
      <c r="F7" t="inlineStr">
        <is>
          <t>Groceries</t>
        </is>
      </c>
      <c r="G7" t="n">
        <v>-285.72</v>
      </c>
    </row>
    <row r="8">
      <c r="A8" s="4" t="n">
        <v>45848</v>
      </c>
      <c r="B8" t="inlineStr">
        <is>
          <t>Brokerage</t>
        </is>
      </c>
      <c r="C8" t="inlineStr">
        <is>
          <t>Expense</t>
        </is>
      </c>
      <c r="D8" t="inlineStr">
        <is>
          <t>Investment</t>
        </is>
      </c>
      <c r="E8" t="inlineStr">
        <is>
          <t>Buy</t>
        </is>
      </c>
      <c r="F8" t="inlineStr">
        <is>
          <t>Buy FNGU</t>
        </is>
      </c>
      <c r="G8" t="n">
        <v>-3375</v>
      </c>
    </row>
    <row r="9">
      <c r="A9" s="4" t="n">
        <v>45849</v>
      </c>
      <c r="B9" t="inlineStr">
        <is>
          <t>Brokerage</t>
        </is>
      </c>
      <c r="C9" t="inlineStr">
        <is>
          <t>Expense</t>
        </is>
      </c>
      <c r="D9" t="inlineStr">
        <is>
          <t>Investment</t>
        </is>
      </c>
      <c r="E9" t="inlineStr">
        <is>
          <t>Buy</t>
        </is>
      </c>
      <c r="F9" t="inlineStr">
        <is>
          <t>Buy SPY</t>
        </is>
      </c>
      <c r="G9" t="n">
        <v>-10100</v>
      </c>
    </row>
    <row r="10">
      <c r="A10" s="4" t="n">
        <v>45863</v>
      </c>
      <c r="B10" t="inlineStr">
        <is>
          <t>Checking</t>
        </is>
      </c>
      <c r="C10" t="inlineStr">
        <is>
          <t>Income</t>
        </is>
      </c>
      <c r="D10" t="inlineStr">
        <is>
          <t>Salary</t>
        </is>
      </c>
      <c r="E10" t="inlineStr">
        <is>
          <t>Paycheck</t>
        </is>
      </c>
      <c r="F10" t="inlineStr">
        <is>
          <t>Monthly paycheck</t>
        </is>
      </c>
      <c r="G10" t="n">
        <v>6000</v>
      </c>
    </row>
    <row r="11">
      <c r="A11" s="4" t="n">
        <v>45868</v>
      </c>
      <c r="B11" t="inlineStr">
        <is>
          <t>Checking</t>
        </is>
      </c>
      <c r="C11" t="inlineStr">
        <is>
          <t>Expense</t>
        </is>
      </c>
      <c r="D11" t="inlineStr">
        <is>
          <t>Housing</t>
        </is>
      </c>
      <c r="E11" t="inlineStr">
        <is>
          <t>Rent</t>
        </is>
      </c>
      <c r="F11" t="inlineStr">
        <is>
          <t>July rent</t>
        </is>
      </c>
      <c r="G11" t="n">
        <v>-1800</v>
      </c>
    </row>
    <row r="12">
      <c r="A12" s="4" t="n">
        <v>45873</v>
      </c>
      <c r="B12" t="inlineStr">
        <is>
          <t>Checking</t>
        </is>
      </c>
      <c r="C12" t="inlineStr">
        <is>
          <t>Expense</t>
        </is>
      </c>
      <c r="D12" t="inlineStr">
        <is>
          <t>Utilities</t>
        </is>
      </c>
      <c r="E12" t="inlineStr">
        <is>
          <t>Electric</t>
        </is>
      </c>
      <c r="F12" t="inlineStr">
        <is>
          <t>TXU bill</t>
        </is>
      </c>
      <c r="G12" t="n">
        <v>-215.19</v>
      </c>
    </row>
    <row r="13">
      <c r="A13" s="4" t="n">
        <v>45883</v>
      </c>
      <c r="B13" t="inlineStr">
        <is>
          <t>Checking</t>
        </is>
      </c>
      <c r="C13" t="inlineStr">
        <is>
          <t>Income</t>
        </is>
      </c>
      <c r="D13" t="inlineStr">
        <is>
          <t>Other</t>
        </is>
      </c>
      <c r="E13" t="inlineStr">
        <is>
          <t>Refund</t>
        </is>
      </c>
      <c r="F13" t="inlineStr">
        <is>
          <t>Tax refund</t>
        </is>
      </c>
      <c r="G13" t="n">
        <v>450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1" customWidth="1" min="4" max="4"/>
    <col width="40" customWidth="1" min="5" max="5"/>
    <col width="13" customWidth="1" min="6" max="6"/>
    <col width="16" customWidth="1" min="7" max="7"/>
  </cols>
  <sheetData>
    <row r="1">
      <c r="A1" s="3" t="inlineStr">
        <is>
          <t>Account</t>
        </is>
      </c>
      <c r="B1" s="3" t="inlineStr">
        <is>
          <t>Symbol</t>
        </is>
      </c>
      <c r="C1" s="3" t="inlineStr">
        <is>
          <t>Quantity</t>
        </is>
      </c>
      <c r="D1" s="3" t="inlineStr">
        <is>
          <t>CostBasis</t>
        </is>
      </c>
      <c r="E1" s="3" t="inlineStr">
        <is>
          <t>LatestPrice</t>
        </is>
      </c>
      <c r="F1" s="3" t="inlineStr">
        <is>
          <t>MarketValue</t>
        </is>
      </c>
      <c r="G1" s="3" t="inlineStr">
        <is>
          <t>UnrealizedGain</t>
        </is>
      </c>
    </row>
    <row r="2">
      <c r="A2" t="inlineStr">
        <is>
          <t>Brokerage</t>
        </is>
      </c>
      <c r="B2" t="inlineStr">
        <is>
          <t>FNGU</t>
        </is>
      </c>
      <c r="C2" t="n">
        <v>150</v>
      </c>
      <c r="D2" t="n">
        <v>3750</v>
      </c>
      <c r="E2">
        <f>LOOKUP(2,1/(Prices!$B:$B=Holdings!B2),Prices!$C:$C)</f>
        <v/>
      </c>
      <c r="F2">
        <f>C2*E2</f>
        <v/>
      </c>
      <c r="G2">
        <f>F2-D2</f>
        <v/>
      </c>
    </row>
    <row r="3">
      <c r="A3" t="inlineStr">
        <is>
          <t>Brokerage</t>
        </is>
      </c>
      <c r="B3" t="inlineStr">
        <is>
          <t>SPY</t>
        </is>
      </c>
      <c r="C3" t="n">
        <v>20</v>
      </c>
      <c r="D3" t="n">
        <v>10000</v>
      </c>
      <c r="E3">
        <f>LOOKUP(2,1/(Prices!$B:$B=Holdings!B3),Prices!$C:$C)</f>
        <v/>
      </c>
      <c r="F3">
        <f>C3*E3</f>
        <v/>
      </c>
      <c r="G3">
        <f>F3-D3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</cols>
  <sheetData>
    <row r="1">
      <c r="A1" s="3" t="inlineStr">
        <is>
          <t>Date</t>
        </is>
      </c>
      <c r="B1" s="3" t="inlineStr">
        <is>
          <t>Symbol</t>
        </is>
      </c>
      <c r="C1" s="3" t="inlineStr">
        <is>
          <t>Close</t>
        </is>
      </c>
    </row>
    <row r="2">
      <c r="A2" s="4" t="n">
        <v>45768</v>
      </c>
      <c r="B2" t="inlineStr">
        <is>
          <t>FNGU</t>
        </is>
      </c>
      <c r="C2" t="n">
        <v>31.03</v>
      </c>
    </row>
    <row r="3">
      <c r="A3" s="4" t="n">
        <v>45769</v>
      </c>
      <c r="B3" t="inlineStr">
        <is>
          <t>FNGU</t>
        </is>
      </c>
      <c r="C3" t="n">
        <v>30.76</v>
      </c>
    </row>
    <row r="4">
      <c r="A4" s="4" t="n">
        <v>45770</v>
      </c>
      <c r="B4" t="inlineStr">
        <is>
          <t>FNGU</t>
        </is>
      </c>
      <c r="C4" t="n">
        <v>30.79</v>
      </c>
    </row>
    <row r="5">
      <c r="A5" s="4" t="n">
        <v>45771</v>
      </c>
      <c r="B5" t="inlineStr">
        <is>
          <t>FNGU</t>
        </is>
      </c>
      <c r="C5" t="n">
        <v>31.06</v>
      </c>
    </row>
    <row r="6">
      <c r="A6" s="4" t="n">
        <v>45772</v>
      </c>
      <c r="B6" t="inlineStr">
        <is>
          <t>FNGU</t>
        </is>
      </c>
      <c r="C6" t="n">
        <v>30.58</v>
      </c>
    </row>
    <row r="7">
      <c r="A7" s="4" t="n">
        <v>45773</v>
      </c>
      <c r="B7" t="inlineStr">
        <is>
          <t>FNGU</t>
        </is>
      </c>
      <c r="C7" t="n">
        <v>30.6</v>
      </c>
    </row>
    <row r="8">
      <c r="A8" s="4" t="n">
        <v>45774</v>
      </c>
      <c r="B8" t="inlineStr">
        <is>
          <t>FNGU</t>
        </is>
      </c>
      <c r="C8" t="n">
        <v>30.61</v>
      </c>
    </row>
    <row r="9">
      <c r="A9" s="4" t="n">
        <v>45775</v>
      </c>
      <c r="B9" t="inlineStr">
        <is>
          <t>FNGU</t>
        </is>
      </c>
      <c r="C9" t="n">
        <v>29.56</v>
      </c>
    </row>
    <row r="10">
      <c r="A10" s="4" t="n">
        <v>45776</v>
      </c>
      <c r="B10" t="inlineStr">
        <is>
          <t>FNGU</t>
        </is>
      </c>
      <c r="C10" t="n">
        <v>30.17</v>
      </c>
    </row>
    <row r="11">
      <c r="A11" s="4" t="n">
        <v>45777</v>
      </c>
      <c r="B11" t="inlineStr">
        <is>
          <t>FNGU</t>
        </is>
      </c>
      <c r="C11" t="n">
        <v>30.55</v>
      </c>
    </row>
    <row r="12">
      <c r="A12" s="4" t="n">
        <v>45778</v>
      </c>
      <c r="B12" t="inlineStr">
        <is>
          <t>FNGU</t>
        </is>
      </c>
      <c r="C12" t="n">
        <v>30.18</v>
      </c>
    </row>
    <row r="13">
      <c r="A13" s="4" t="n">
        <v>45779</v>
      </c>
      <c r="B13" t="inlineStr">
        <is>
          <t>FNGU</t>
        </is>
      </c>
      <c r="C13" t="n">
        <v>30.09</v>
      </c>
    </row>
    <row r="14">
      <c r="A14" s="4" t="n">
        <v>45780</v>
      </c>
      <c r="B14" t="inlineStr">
        <is>
          <t>FNGU</t>
        </is>
      </c>
      <c r="C14" t="n">
        <v>30.41</v>
      </c>
    </row>
    <row r="15">
      <c r="A15" s="4" t="n">
        <v>45781</v>
      </c>
      <c r="B15" t="inlineStr">
        <is>
          <t>FNGU</t>
        </is>
      </c>
      <c r="C15" t="n">
        <v>30.27</v>
      </c>
    </row>
    <row r="16">
      <c r="A16" s="4" t="n">
        <v>45782</v>
      </c>
      <c r="B16" t="inlineStr">
        <is>
          <t>FNGU</t>
        </is>
      </c>
      <c r="C16" t="n">
        <v>30.14</v>
      </c>
    </row>
    <row r="17">
      <c r="A17" s="4" t="n">
        <v>45783</v>
      </c>
      <c r="B17" t="inlineStr">
        <is>
          <t>FNGU</t>
        </is>
      </c>
      <c r="C17" t="n">
        <v>29.28</v>
      </c>
    </row>
    <row r="18">
      <c r="A18" s="4" t="n">
        <v>45784</v>
      </c>
      <c r="B18" t="inlineStr">
        <is>
          <t>FNGU</t>
        </is>
      </c>
      <c r="C18" t="n">
        <v>29.62</v>
      </c>
    </row>
    <row r="19">
      <c r="A19" s="4" t="n">
        <v>45785</v>
      </c>
      <c r="B19" t="inlineStr">
        <is>
          <t>FNGU</t>
        </is>
      </c>
      <c r="C19" t="n">
        <v>29.7</v>
      </c>
    </row>
    <row r="20">
      <c r="A20" s="4" t="n">
        <v>45786</v>
      </c>
      <c r="B20" t="inlineStr">
        <is>
          <t>FNGU</t>
        </is>
      </c>
      <c r="C20" t="n">
        <v>29.88</v>
      </c>
    </row>
    <row r="21">
      <c r="A21" s="4" t="n">
        <v>45787</v>
      </c>
      <c r="B21" t="inlineStr">
        <is>
          <t>FNGU</t>
        </is>
      </c>
      <c r="C21" t="n">
        <v>28.98</v>
      </c>
    </row>
    <row r="22">
      <c r="A22" s="4" t="n">
        <v>45788</v>
      </c>
      <c r="B22" t="inlineStr">
        <is>
          <t>FNGU</t>
        </is>
      </c>
      <c r="C22" t="n">
        <v>29.96</v>
      </c>
    </row>
    <row r="23">
      <c r="A23" s="4" t="n">
        <v>45789</v>
      </c>
      <c r="B23" t="inlineStr">
        <is>
          <t>FNGU</t>
        </is>
      </c>
      <c r="C23" t="n">
        <v>30.06</v>
      </c>
    </row>
    <row r="24">
      <c r="A24" s="4" t="n">
        <v>45790</v>
      </c>
      <c r="B24" t="inlineStr">
        <is>
          <t>FNGU</t>
        </is>
      </c>
      <c r="C24" t="n">
        <v>29.85</v>
      </c>
    </row>
    <row r="25">
      <c r="A25" s="4" t="n">
        <v>45791</v>
      </c>
      <c r="B25" t="inlineStr">
        <is>
          <t>FNGU</t>
        </is>
      </c>
      <c r="C25" t="n">
        <v>31.07</v>
      </c>
    </row>
    <row r="26">
      <c r="A26" s="4" t="n">
        <v>45792</v>
      </c>
      <c r="B26" t="inlineStr">
        <is>
          <t>FNGU</t>
        </is>
      </c>
      <c r="C26" t="n">
        <v>31.06</v>
      </c>
    </row>
    <row r="27">
      <c r="A27" s="4" t="n">
        <v>45793</v>
      </c>
      <c r="B27" t="inlineStr">
        <is>
          <t>FNGU</t>
        </is>
      </c>
      <c r="C27" t="n">
        <v>30.17</v>
      </c>
    </row>
    <row r="28">
      <c r="A28" s="4" t="n">
        <v>45794</v>
      </c>
      <c r="B28" t="inlineStr">
        <is>
          <t>FNGU</t>
        </is>
      </c>
      <c r="C28" t="n">
        <v>29.94</v>
      </c>
    </row>
    <row r="29">
      <c r="A29" s="4" t="n">
        <v>45795</v>
      </c>
      <c r="B29" t="inlineStr">
        <is>
          <t>FNGU</t>
        </is>
      </c>
      <c r="C29" t="n">
        <v>28.59</v>
      </c>
    </row>
    <row r="30">
      <c r="A30" s="4" t="n">
        <v>45796</v>
      </c>
      <c r="B30" t="inlineStr">
        <is>
          <t>FNGU</t>
        </is>
      </c>
      <c r="C30" t="n">
        <v>29.2</v>
      </c>
    </row>
    <row r="31">
      <c r="A31" s="4" t="n">
        <v>45797</v>
      </c>
      <c r="B31" t="inlineStr">
        <is>
          <t>FNGU</t>
        </is>
      </c>
      <c r="C31" t="n">
        <v>28.97</v>
      </c>
    </row>
    <row r="32">
      <c r="A32" s="4" t="n">
        <v>45798</v>
      </c>
      <c r="B32" t="inlineStr">
        <is>
          <t>FNGU</t>
        </is>
      </c>
      <c r="C32" t="n">
        <v>28.56</v>
      </c>
    </row>
    <row r="33">
      <c r="A33" s="4" t="n">
        <v>45799</v>
      </c>
      <c r="B33" t="inlineStr">
        <is>
          <t>FNGU</t>
        </is>
      </c>
      <c r="C33" t="n">
        <v>29.19</v>
      </c>
    </row>
    <row r="34">
      <c r="A34" s="4" t="n">
        <v>45800</v>
      </c>
      <c r="B34" t="inlineStr">
        <is>
          <t>FNGU</t>
        </is>
      </c>
      <c r="C34" t="n">
        <v>28.24</v>
      </c>
    </row>
    <row r="35">
      <c r="A35" s="4" t="n">
        <v>45801</v>
      </c>
      <c r="B35" t="inlineStr">
        <is>
          <t>FNGU</t>
        </is>
      </c>
      <c r="C35" t="n">
        <v>28.55</v>
      </c>
    </row>
    <row r="36">
      <c r="A36" s="4" t="n">
        <v>45802</v>
      </c>
      <c r="B36" t="inlineStr">
        <is>
          <t>FNGU</t>
        </is>
      </c>
      <c r="C36" t="n">
        <v>27.39</v>
      </c>
    </row>
    <row r="37">
      <c r="A37" s="4" t="n">
        <v>45803</v>
      </c>
      <c r="B37" t="inlineStr">
        <is>
          <t>FNGU</t>
        </is>
      </c>
      <c r="C37" t="n">
        <v>27.04</v>
      </c>
    </row>
    <row r="38">
      <c r="A38" s="4" t="n">
        <v>45804</v>
      </c>
      <c r="B38" t="inlineStr">
        <is>
          <t>FNGU</t>
        </is>
      </c>
      <c r="C38" t="n">
        <v>26.4</v>
      </c>
    </row>
    <row r="39">
      <c r="A39" s="4" t="n">
        <v>45805</v>
      </c>
      <c r="B39" t="inlineStr">
        <is>
          <t>FNGU</t>
        </is>
      </c>
      <c r="C39" t="n">
        <v>27.19</v>
      </c>
    </row>
    <row r="40">
      <c r="A40" s="4" t="n">
        <v>45806</v>
      </c>
      <c r="B40" t="inlineStr">
        <is>
          <t>FNGU</t>
        </is>
      </c>
      <c r="C40" t="n">
        <v>28.16</v>
      </c>
    </row>
    <row r="41">
      <c r="A41" s="4" t="n">
        <v>45807</v>
      </c>
      <c r="B41" t="inlineStr">
        <is>
          <t>FNGU</t>
        </is>
      </c>
      <c r="C41" t="n">
        <v>27.99</v>
      </c>
    </row>
    <row r="42">
      <c r="A42" s="4" t="n">
        <v>45808</v>
      </c>
      <c r="B42" t="inlineStr">
        <is>
          <t>FNGU</t>
        </is>
      </c>
      <c r="C42" t="n">
        <v>28.47</v>
      </c>
    </row>
    <row r="43">
      <c r="A43" s="4" t="n">
        <v>45809</v>
      </c>
      <c r="B43" t="inlineStr">
        <is>
          <t>FNGU</t>
        </is>
      </c>
      <c r="C43" t="n">
        <v>28.39</v>
      </c>
    </row>
    <row r="44">
      <c r="A44" s="4" t="n">
        <v>45810</v>
      </c>
      <c r="B44" t="inlineStr">
        <is>
          <t>FNGU</t>
        </is>
      </c>
      <c r="C44" t="n">
        <v>28.72</v>
      </c>
    </row>
    <row r="45">
      <c r="A45" s="4" t="n">
        <v>45811</v>
      </c>
      <c r="B45" t="inlineStr">
        <is>
          <t>FNGU</t>
        </is>
      </c>
      <c r="C45" t="n">
        <v>28.3</v>
      </c>
    </row>
    <row r="46">
      <c r="A46" s="4" t="n">
        <v>45812</v>
      </c>
      <c r="B46" t="inlineStr">
        <is>
          <t>FNGU</t>
        </is>
      </c>
      <c r="C46" t="n">
        <v>27.35</v>
      </c>
    </row>
    <row r="47">
      <c r="A47" s="4" t="n">
        <v>45813</v>
      </c>
      <c r="B47" t="inlineStr">
        <is>
          <t>FNGU</t>
        </is>
      </c>
      <c r="C47" t="n">
        <v>26.38</v>
      </c>
    </row>
    <row r="48">
      <c r="A48" s="4" t="n">
        <v>45814</v>
      </c>
      <c r="B48" t="inlineStr">
        <is>
          <t>FNGU</t>
        </is>
      </c>
      <c r="C48" t="n">
        <v>26.59</v>
      </c>
    </row>
    <row r="49">
      <c r="A49" s="4" t="n">
        <v>45815</v>
      </c>
      <c r="B49" t="inlineStr">
        <is>
          <t>FNGU</t>
        </is>
      </c>
      <c r="C49" t="n">
        <v>27.8</v>
      </c>
    </row>
    <row r="50">
      <c r="A50" s="4" t="n">
        <v>45816</v>
      </c>
      <c r="B50" t="inlineStr">
        <is>
          <t>FNGU</t>
        </is>
      </c>
      <c r="C50" t="n">
        <v>27.97</v>
      </c>
    </row>
    <row r="51">
      <c r="A51" s="4" t="n">
        <v>45817</v>
      </c>
      <c r="B51" t="inlineStr">
        <is>
          <t>FNGU</t>
        </is>
      </c>
      <c r="C51" t="n">
        <v>27.69</v>
      </c>
    </row>
    <row r="52">
      <c r="A52" s="4" t="n">
        <v>45818</v>
      </c>
      <c r="B52" t="inlineStr">
        <is>
          <t>FNGU</t>
        </is>
      </c>
      <c r="C52" t="n">
        <v>28.76</v>
      </c>
    </row>
    <row r="53">
      <c r="A53" s="4" t="n">
        <v>45819</v>
      </c>
      <c r="B53" t="inlineStr">
        <is>
          <t>FNGU</t>
        </is>
      </c>
      <c r="C53" t="n">
        <v>28.91</v>
      </c>
    </row>
    <row r="54">
      <c r="A54" s="4" t="n">
        <v>45820</v>
      </c>
      <c r="B54" t="inlineStr">
        <is>
          <t>FNGU</t>
        </is>
      </c>
      <c r="C54" t="n">
        <v>28.98</v>
      </c>
    </row>
    <row r="55">
      <c r="A55" s="4" t="n">
        <v>45821</v>
      </c>
      <c r="B55" t="inlineStr">
        <is>
          <t>FNGU</t>
        </is>
      </c>
      <c r="C55" t="n">
        <v>29.14</v>
      </c>
    </row>
    <row r="56">
      <c r="A56" s="4" t="n">
        <v>45822</v>
      </c>
      <c r="B56" t="inlineStr">
        <is>
          <t>FNGU</t>
        </is>
      </c>
      <c r="C56" t="n">
        <v>29.08</v>
      </c>
    </row>
    <row r="57">
      <c r="A57" s="4" t="n">
        <v>45823</v>
      </c>
      <c r="B57" t="inlineStr">
        <is>
          <t>FNGU</t>
        </is>
      </c>
      <c r="C57" t="n">
        <v>28.92</v>
      </c>
    </row>
    <row r="58">
      <c r="A58" s="4" t="n">
        <v>45824</v>
      </c>
      <c r="B58" t="inlineStr">
        <is>
          <t>FNGU</t>
        </is>
      </c>
      <c r="C58" t="n">
        <v>28.1</v>
      </c>
    </row>
    <row r="59">
      <c r="A59" s="4" t="n">
        <v>45825</v>
      </c>
      <c r="B59" t="inlineStr">
        <is>
          <t>FNGU</t>
        </is>
      </c>
      <c r="C59" t="n">
        <v>28.4</v>
      </c>
    </row>
    <row r="60">
      <c r="A60" s="4" t="n">
        <v>45826</v>
      </c>
      <c r="B60" t="inlineStr">
        <is>
          <t>FNGU</t>
        </is>
      </c>
      <c r="C60" t="n">
        <v>28.36</v>
      </c>
    </row>
    <row r="61">
      <c r="A61" s="4" t="n">
        <v>45827</v>
      </c>
      <c r="B61" t="inlineStr">
        <is>
          <t>FNGU</t>
        </is>
      </c>
      <c r="C61" t="n">
        <v>29.05</v>
      </c>
    </row>
    <row r="62">
      <c r="A62" s="4" t="n">
        <v>45828</v>
      </c>
      <c r="B62" t="inlineStr">
        <is>
          <t>FNGU</t>
        </is>
      </c>
      <c r="C62" t="n">
        <v>28.85</v>
      </c>
    </row>
    <row r="63">
      <c r="A63" s="4" t="n">
        <v>45829</v>
      </c>
      <c r="B63" t="inlineStr">
        <is>
          <t>FNGU</t>
        </is>
      </c>
      <c r="C63" t="n">
        <v>27.76</v>
      </c>
    </row>
    <row r="64">
      <c r="A64" s="4" t="n">
        <v>45830</v>
      </c>
      <c r="B64" t="inlineStr">
        <is>
          <t>FNGU</t>
        </is>
      </c>
      <c r="C64" t="n">
        <v>27.72</v>
      </c>
    </row>
    <row r="65">
      <c r="A65" s="4" t="n">
        <v>45831</v>
      </c>
      <c r="B65" t="inlineStr">
        <is>
          <t>FNGU</t>
        </is>
      </c>
      <c r="C65" t="n">
        <v>28.68</v>
      </c>
    </row>
    <row r="66">
      <c r="A66" s="4" t="n">
        <v>45832</v>
      </c>
      <c r="B66" t="inlineStr">
        <is>
          <t>FNGU</t>
        </is>
      </c>
      <c r="C66" t="n">
        <v>28.47</v>
      </c>
    </row>
    <row r="67">
      <c r="A67" s="4" t="n">
        <v>45833</v>
      </c>
      <c r="B67" t="inlineStr">
        <is>
          <t>FNGU</t>
        </is>
      </c>
      <c r="C67" t="n">
        <v>27.98</v>
      </c>
    </row>
    <row r="68">
      <c r="A68" s="4" t="n">
        <v>45834</v>
      </c>
      <c r="B68" t="inlineStr">
        <is>
          <t>FNGU</t>
        </is>
      </c>
      <c r="C68" t="n">
        <v>27.33</v>
      </c>
    </row>
    <row r="69">
      <c r="A69" s="4" t="n">
        <v>45835</v>
      </c>
      <c r="B69" t="inlineStr">
        <is>
          <t>FNGU</t>
        </is>
      </c>
      <c r="C69" t="n">
        <v>26.77</v>
      </c>
    </row>
    <row r="70">
      <c r="A70" s="4" t="n">
        <v>45836</v>
      </c>
      <c r="B70" t="inlineStr">
        <is>
          <t>FNGU</t>
        </is>
      </c>
      <c r="C70" t="n">
        <v>26.62</v>
      </c>
    </row>
    <row r="71">
      <c r="A71" s="4" t="n">
        <v>45837</v>
      </c>
      <c r="B71" t="inlineStr">
        <is>
          <t>FNGU</t>
        </is>
      </c>
      <c r="C71" t="n">
        <v>26</v>
      </c>
    </row>
    <row r="72">
      <c r="A72" s="4" t="n">
        <v>45838</v>
      </c>
      <c r="B72" t="inlineStr">
        <is>
          <t>FNGU</t>
        </is>
      </c>
      <c r="C72" t="n">
        <v>26.79</v>
      </c>
    </row>
    <row r="73">
      <c r="A73" s="4" t="n">
        <v>45839</v>
      </c>
      <c r="B73" t="inlineStr">
        <is>
          <t>FNGU</t>
        </is>
      </c>
      <c r="C73" t="n">
        <v>26.66</v>
      </c>
    </row>
    <row r="74">
      <c r="A74" s="4" t="n">
        <v>45840</v>
      </c>
      <c r="B74" t="inlineStr">
        <is>
          <t>FNGU</t>
        </is>
      </c>
      <c r="C74" t="n">
        <v>26.73</v>
      </c>
    </row>
    <row r="75">
      <c r="A75" s="4" t="n">
        <v>45841</v>
      </c>
      <c r="B75" t="inlineStr">
        <is>
          <t>FNGU</t>
        </is>
      </c>
      <c r="C75" t="n">
        <v>27.51</v>
      </c>
    </row>
    <row r="76">
      <c r="A76" s="4" t="n">
        <v>45842</v>
      </c>
      <c r="B76" t="inlineStr">
        <is>
          <t>FNGU</t>
        </is>
      </c>
      <c r="C76" t="n">
        <v>28.35</v>
      </c>
    </row>
    <row r="77">
      <c r="A77" s="4" t="n">
        <v>45843</v>
      </c>
      <c r="B77" t="inlineStr">
        <is>
          <t>FNGU</t>
        </is>
      </c>
      <c r="C77" t="n">
        <v>28.24</v>
      </c>
    </row>
    <row r="78">
      <c r="A78" s="4" t="n">
        <v>45844</v>
      </c>
      <c r="B78" t="inlineStr">
        <is>
          <t>FNGU</t>
        </is>
      </c>
      <c r="C78" t="n">
        <v>28.45</v>
      </c>
    </row>
    <row r="79">
      <c r="A79" s="4" t="n">
        <v>45845</v>
      </c>
      <c r="B79" t="inlineStr">
        <is>
          <t>FNGU</t>
        </is>
      </c>
      <c r="C79" t="n">
        <v>28.88</v>
      </c>
    </row>
    <row r="80">
      <c r="A80" s="4" t="n">
        <v>45846</v>
      </c>
      <c r="B80" t="inlineStr">
        <is>
          <t>FNGU</t>
        </is>
      </c>
      <c r="C80" t="n">
        <v>28.78</v>
      </c>
    </row>
    <row r="81">
      <c r="A81" s="4" t="n">
        <v>45847</v>
      </c>
      <c r="B81" t="inlineStr">
        <is>
          <t>FNGU</t>
        </is>
      </c>
      <c r="C81" t="n">
        <v>27.77</v>
      </c>
    </row>
    <row r="82">
      <c r="A82" s="4" t="n">
        <v>45848</v>
      </c>
      <c r="B82" t="inlineStr">
        <is>
          <t>FNGU</t>
        </is>
      </c>
      <c r="C82" t="n">
        <v>28.15</v>
      </c>
    </row>
    <row r="83">
      <c r="A83" s="4" t="n">
        <v>45849</v>
      </c>
      <c r="B83" t="inlineStr">
        <is>
          <t>FNGU</t>
        </is>
      </c>
      <c r="C83" t="n">
        <v>28.67</v>
      </c>
    </row>
    <row r="84">
      <c r="A84" s="4" t="n">
        <v>45850</v>
      </c>
      <c r="B84" t="inlineStr">
        <is>
          <t>FNGU</t>
        </is>
      </c>
      <c r="C84" t="n">
        <v>28.92</v>
      </c>
    </row>
    <row r="85">
      <c r="A85" s="4" t="n">
        <v>45851</v>
      </c>
      <c r="B85" t="inlineStr">
        <is>
          <t>FNGU</t>
        </is>
      </c>
      <c r="C85" t="n">
        <v>28.4</v>
      </c>
    </row>
    <row r="86">
      <c r="A86" s="4" t="n">
        <v>45852</v>
      </c>
      <c r="B86" t="inlineStr">
        <is>
          <t>FNGU</t>
        </is>
      </c>
      <c r="C86" t="n">
        <v>28.3</v>
      </c>
    </row>
    <row r="87">
      <c r="A87" s="4" t="n">
        <v>45853</v>
      </c>
      <c r="B87" t="inlineStr">
        <is>
          <t>FNGU</t>
        </is>
      </c>
      <c r="C87" t="n">
        <v>27.98</v>
      </c>
    </row>
    <row r="88">
      <c r="A88" s="4" t="n">
        <v>45854</v>
      </c>
      <c r="B88" t="inlineStr">
        <is>
          <t>FNGU</t>
        </is>
      </c>
      <c r="C88" t="n">
        <v>27.83</v>
      </c>
    </row>
    <row r="89">
      <c r="A89" s="4" t="n">
        <v>45855</v>
      </c>
      <c r="B89" t="inlineStr">
        <is>
          <t>FNGU</t>
        </is>
      </c>
      <c r="C89" t="n">
        <v>28.57</v>
      </c>
    </row>
    <row r="90">
      <c r="A90" s="4" t="n">
        <v>45856</v>
      </c>
      <c r="B90" t="inlineStr">
        <is>
          <t>FNGU</t>
        </is>
      </c>
      <c r="C90" t="n">
        <v>29.45</v>
      </c>
    </row>
    <row r="91">
      <c r="A91" s="4" t="n">
        <v>45857</v>
      </c>
      <c r="B91" t="inlineStr">
        <is>
          <t>FNGU</t>
        </is>
      </c>
      <c r="C91" t="n">
        <v>29.86</v>
      </c>
    </row>
    <row r="92">
      <c r="A92" s="4" t="n">
        <v>45858</v>
      </c>
      <c r="B92" t="inlineStr">
        <is>
          <t>FNGU</t>
        </is>
      </c>
      <c r="C92" t="n">
        <v>30.21</v>
      </c>
    </row>
    <row r="93">
      <c r="A93" s="4" t="n">
        <v>45859</v>
      </c>
      <c r="B93" t="inlineStr">
        <is>
          <t>FNGU</t>
        </is>
      </c>
      <c r="C93" t="n">
        <v>30.63</v>
      </c>
    </row>
    <row r="94">
      <c r="A94" s="4" t="n">
        <v>45860</v>
      </c>
      <c r="B94" t="inlineStr">
        <is>
          <t>FNGU</t>
        </is>
      </c>
      <c r="C94" t="n">
        <v>30.64</v>
      </c>
    </row>
    <row r="95">
      <c r="A95" s="4" t="n">
        <v>45861</v>
      </c>
      <c r="B95" t="inlineStr">
        <is>
          <t>FNGU</t>
        </is>
      </c>
      <c r="C95" t="n">
        <v>30.61</v>
      </c>
    </row>
    <row r="96">
      <c r="A96" s="4" t="n">
        <v>45862</v>
      </c>
      <c r="B96" t="inlineStr">
        <is>
          <t>FNGU</t>
        </is>
      </c>
      <c r="C96" t="n">
        <v>30.21</v>
      </c>
    </row>
    <row r="97">
      <c r="A97" s="4" t="n">
        <v>45863</v>
      </c>
      <c r="B97" t="inlineStr">
        <is>
          <t>FNGU</t>
        </is>
      </c>
      <c r="C97" t="n">
        <v>30.19</v>
      </c>
    </row>
    <row r="98">
      <c r="A98" s="4" t="n">
        <v>45864</v>
      </c>
      <c r="B98" t="inlineStr">
        <is>
          <t>FNGU</t>
        </is>
      </c>
      <c r="C98" t="n">
        <v>31.57</v>
      </c>
    </row>
    <row r="99">
      <c r="A99" s="4" t="n">
        <v>45865</v>
      </c>
      <c r="B99" t="inlineStr">
        <is>
          <t>FNGU</t>
        </is>
      </c>
      <c r="C99" t="n">
        <v>32.13</v>
      </c>
    </row>
    <row r="100">
      <c r="A100" s="4" t="n">
        <v>45866</v>
      </c>
      <c r="B100" t="inlineStr">
        <is>
          <t>FNGU</t>
        </is>
      </c>
      <c r="C100" t="n">
        <v>31.93</v>
      </c>
    </row>
    <row r="101">
      <c r="A101" s="4" t="n">
        <v>45867</v>
      </c>
      <c r="B101" t="inlineStr">
        <is>
          <t>FNGU</t>
        </is>
      </c>
      <c r="C101" t="n">
        <v>31.64</v>
      </c>
    </row>
    <row r="102">
      <c r="A102" s="4" t="n">
        <v>45868</v>
      </c>
      <c r="B102" t="inlineStr">
        <is>
          <t>FNGU</t>
        </is>
      </c>
      <c r="C102" t="n">
        <v>31.11</v>
      </c>
    </row>
    <row r="103">
      <c r="A103" s="4" t="n">
        <v>45869</v>
      </c>
      <c r="B103" t="inlineStr">
        <is>
          <t>FNGU</t>
        </is>
      </c>
      <c r="C103" t="n">
        <v>31.36</v>
      </c>
    </row>
    <row r="104">
      <c r="A104" s="4" t="n">
        <v>45870</v>
      </c>
      <c r="B104" t="inlineStr">
        <is>
          <t>FNGU</t>
        </is>
      </c>
      <c r="C104" t="n">
        <v>31.62</v>
      </c>
    </row>
    <row r="105">
      <c r="A105" s="4" t="n">
        <v>45871</v>
      </c>
      <c r="B105" t="inlineStr">
        <is>
          <t>FNGU</t>
        </is>
      </c>
      <c r="C105" t="n">
        <v>30.73</v>
      </c>
    </row>
    <row r="106">
      <c r="A106" s="4" t="n">
        <v>45872</v>
      </c>
      <c r="B106" t="inlineStr">
        <is>
          <t>FNGU</t>
        </is>
      </c>
      <c r="C106" t="n">
        <v>31.04</v>
      </c>
    </row>
    <row r="107">
      <c r="A107" s="4" t="n">
        <v>45873</v>
      </c>
      <c r="B107" t="inlineStr">
        <is>
          <t>FNGU</t>
        </is>
      </c>
      <c r="C107" t="n">
        <v>30.7</v>
      </c>
    </row>
    <row r="108">
      <c r="A108" s="4" t="n">
        <v>45874</v>
      </c>
      <c r="B108" t="inlineStr">
        <is>
          <t>FNGU</t>
        </is>
      </c>
      <c r="C108" t="n">
        <v>31.59</v>
      </c>
    </row>
    <row r="109">
      <c r="A109" s="4" t="n">
        <v>45875</v>
      </c>
      <c r="B109" t="inlineStr">
        <is>
          <t>FNGU</t>
        </is>
      </c>
      <c r="C109" t="n">
        <v>31.71</v>
      </c>
    </row>
    <row r="110">
      <c r="A110" s="4" t="n">
        <v>45876</v>
      </c>
      <c r="B110" t="inlineStr">
        <is>
          <t>FNGU</t>
        </is>
      </c>
      <c r="C110" t="n">
        <v>32.81</v>
      </c>
    </row>
    <row r="111">
      <c r="A111" s="4" t="n">
        <v>45877</v>
      </c>
      <c r="B111" t="inlineStr">
        <is>
          <t>FNGU</t>
        </is>
      </c>
      <c r="C111" t="n">
        <v>32.53</v>
      </c>
    </row>
    <row r="112">
      <c r="A112" s="4" t="n">
        <v>45878</v>
      </c>
      <c r="B112" t="inlineStr">
        <is>
          <t>FNGU</t>
        </is>
      </c>
      <c r="C112" t="n">
        <v>32.36</v>
      </c>
    </row>
    <row r="113">
      <c r="A113" s="4" t="n">
        <v>45879</v>
      </c>
      <c r="B113" t="inlineStr">
        <is>
          <t>FNGU</t>
        </is>
      </c>
      <c r="C113" t="n">
        <v>32.57</v>
      </c>
    </row>
    <row r="114">
      <c r="A114" s="4" t="n">
        <v>45880</v>
      </c>
      <c r="B114" t="inlineStr">
        <is>
          <t>FNGU</t>
        </is>
      </c>
      <c r="C114" t="n">
        <v>33.27</v>
      </c>
    </row>
    <row r="115">
      <c r="A115" s="4" t="n">
        <v>45881</v>
      </c>
      <c r="B115" t="inlineStr">
        <is>
          <t>FNGU</t>
        </is>
      </c>
      <c r="C115" t="n">
        <v>33.67</v>
      </c>
    </row>
    <row r="116">
      <c r="A116" s="4" t="n">
        <v>45882</v>
      </c>
      <c r="B116" t="inlineStr">
        <is>
          <t>FNGU</t>
        </is>
      </c>
      <c r="C116" t="n">
        <v>32.85</v>
      </c>
    </row>
    <row r="117">
      <c r="A117" s="4" t="n">
        <v>45883</v>
      </c>
      <c r="B117" t="inlineStr">
        <is>
          <t>FNGU</t>
        </is>
      </c>
      <c r="C117" t="n">
        <v>32.99</v>
      </c>
    </row>
    <row r="118">
      <c r="A118" s="4" t="n">
        <v>45884</v>
      </c>
      <c r="B118" t="inlineStr">
        <is>
          <t>FNGU</t>
        </is>
      </c>
      <c r="C118" t="n">
        <v>33.02</v>
      </c>
    </row>
    <row r="119">
      <c r="A119" s="4" t="n">
        <v>45885</v>
      </c>
      <c r="B119" t="inlineStr">
        <is>
          <t>FNGU</t>
        </is>
      </c>
      <c r="C119" t="n">
        <v>32.75</v>
      </c>
    </row>
    <row r="120">
      <c r="A120" s="4" t="n">
        <v>45886</v>
      </c>
      <c r="B120" t="inlineStr">
        <is>
          <t>FNGU</t>
        </is>
      </c>
      <c r="C120" t="n">
        <v>32.35</v>
      </c>
    </row>
    <row r="121">
      <c r="A121" s="4" t="n">
        <v>45887</v>
      </c>
      <c r="B121" t="inlineStr">
        <is>
          <t>FNGU</t>
        </is>
      </c>
      <c r="C121" t="n">
        <v>33.49</v>
      </c>
    </row>
    <row r="122">
      <c r="A122" s="4" t="n">
        <v>45888</v>
      </c>
      <c r="B122" t="inlineStr">
        <is>
          <t>FNGU</t>
        </is>
      </c>
      <c r="C122" t="n">
        <v>33.25</v>
      </c>
    </row>
    <row r="123">
      <c r="A123" s="4" t="n">
        <v>45768</v>
      </c>
      <c r="B123" t="inlineStr">
        <is>
          <t>SPY</t>
        </is>
      </c>
      <c r="C123" t="n">
        <v>511.46</v>
      </c>
    </row>
    <row r="124">
      <c r="A124" s="4" t="n">
        <v>45769</v>
      </c>
      <c r="B124" t="inlineStr">
        <is>
          <t>SPY</t>
        </is>
      </c>
      <c r="C124" t="n">
        <v>518.24</v>
      </c>
    </row>
    <row r="125">
      <c r="A125" s="4" t="n">
        <v>45770</v>
      </c>
      <c r="B125" t="inlineStr">
        <is>
          <t>SPY</t>
        </is>
      </c>
      <c r="C125" t="n">
        <v>519.85</v>
      </c>
    </row>
    <row r="126">
      <c r="A126" s="4" t="n">
        <v>45771</v>
      </c>
      <c r="B126" t="inlineStr">
        <is>
          <t>SPY</t>
        </is>
      </c>
      <c r="C126" t="n">
        <v>519.3200000000001</v>
      </c>
    </row>
    <row r="127">
      <c r="A127" s="4" t="n">
        <v>45772</v>
      </c>
      <c r="B127" t="inlineStr">
        <is>
          <t>SPY</t>
        </is>
      </c>
      <c r="C127" t="n">
        <v>527.6900000000001</v>
      </c>
    </row>
    <row r="128">
      <c r="A128" s="4" t="n">
        <v>45773</v>
      </c>
      <c r="B128" t="inlineStr">
        <is>
          <t>SPY</t>
        </is>
      </c>
      <c r="C128" t="n">
        <v>533.12</v>
      </c>
    </row>
    <row r="129">
      <c r="A129" s="4" t="n">
        <v>45774</v>
      </c>
      <c r="B129" t="inlineStr">
        <is>
          <t>SPY</t>
        </is>
      </c>
      <c r="C129" t="n">
        <v>537.24</v>
      </c>
    </row>
    <row r="130">
      <c r="A130" s="4" t="n">
        <v>45775</v>
      </c>
      <c r="B130" t="inlineStr">
        <is>
          <t>SPY</t>
        </is>
      </c>
      <c r="C130" t="n">
        <v>547.87</v>
      </c>
    </row>
    <row r="131">
      <c r="A131" s="4" t="n">
        <v>45776</v>
      </c>
      <c r="B131" t="inlineStr">
        <is>
          <t>SPY</t>
        </is>
      </c>
      <c r="C131" t="n">
        <v>551.25</v>
      </c>
    </row>
    <row r="132">
      <c r="A132" s="4" t="n">
        <v>45777</v>
      </c>
      <c r="B132" t="inlineStr">
        <is>
          <t>SPY</t>
        </is>
      </c>
      <c r="C132" t="n">
        <v>544.73</v>
      </c>
    </row>
    <row r="133">
      <c r="A133" s="4" t="n">
        <v>45778</v>
      </c>
      <c r="B133" t="inlineStr">
        <is>
          <t>SPY</t>
        </is>
      </c>
      <c r="C133" t="n">
        <v>541.05</v>
      </c>
    </row>
    <row r="134">
      <c r="A134" s="4" t="n">
        <v>45779</v>
      </c>
      <c r="B134" t="inlineStr">
        <is>
          <t>SPY</t>
        </is>
      </c>
      <c r="C134" t="n">
        <v>535.6900000000001</v>
      </c>
    </row>
    <row r="135">
      <c r="A135" s="4" t="n">
        <v>45780</v>
      </c>
      <c r="B135" t="inlineStr">
        <is>
          <t>SPY</t>
        </is>
      </c>
      <c r="C135" t="n">
        <v>538.2</v>
      </c>
    </row>
    <row r="136">
      <c r="A136" s="4" t="n">
        <v>45781</v>
      </c>
      <c r="B136" t="inlineStr">
        <is>
          <t>SPY</t>
        </is>
      </c>
      <c r="C136" t="n">
        <v>526.87</v>
      </c>
    </row>
    <row r="137">
      <c r="A137" s="4" t="n">
        <v>45782</v>
      </c>
      <c r="B137" t="inlineStr">
        <is>
          <t>SPY</t>
        </is>
      </c>
      <c r="C137" t="n">
        <v>507.82</v>
      </c>
    </row>
    <row r="138">
      <c r="A138" s="4" t="n">
        <v>45783</v>
      </c>
      <c r="B138" t="inlineStr">
        <is>
          <t>SPY</t>
        </is>
      </c>
      <c r="C138" t="n">
        <v>508.97</v>
      </c>
    </row>
    <row r="139">
      <c r="A139" s="4" t="n">
        <v>45784</v>
      </c>
      <c r="B139" t="inlineStr">
        <is>
          <t>SPY</t>
        </is>
      </c>
      <c r="C139" t="n">
        <v>495.62</v>
      </c>
    </row>
    <row r="140">
      <c r="A140" s="4" t="n">
        <v>45785</v>
      </c>
      <c r="B140" t="inlineStr">
        <is>
          <t>SPY</t>
        </is>
      </c>
      <c r="C140" t="n">
        <v>476.52</v>
      </c>
    </row>
    <row r="141">
      <c r="A141" s="4" t="n">
        <v>45786</v>
      </c>
      <c r="B141" t="inlineStr">
        <is>
          <t>SPY</t>
        </is>
      </c>
      <c r="C141" t="n">
        <v>480.32</v>
      </c>
    </row>
    <row r="142">
      <c r="A142" s="4" t="n">
        <v>45787</v>
      </c>
      <c r="B142" t="inlineStr">
        <is>
          <t>SPY</t>
        </is>
      </c>
      <c r="C142" t="n">
        <v>473.73</v>
      </c>
    </row>
    <row r="143">
      <c r="A143" s="4" t="n">
        <v>45788</v>
      </c>
      <c r="B143" t="inlineStr">
        <is>
          <t>SPY</t>
        </is>
      </c>
      <c r="C143" t="n">
        <v>478.66</v>
      </c>
    </row>
    <row r="144">
      <c r="A144" s="4" t="n">
        <v>45789</v>
      </c>
      <c r="B144" t="inlineStr">
        <is>
          <t>SPY</t>
        </is>
      </c>
      <c r="C144" t="n">
        <v>473.82</v>
      </c>
    </row>
    <row r="145">
      <c r="A145" s="4" t="n">
        <v>45790</v>
      </c>
      <c r="B145" t="inlineStr">
        <is>
          <t>SPY</t>
        </is>
      </c>
      <c r="C145" t="n">
        <v>463.42</v>
      </c>
    </row>
    <row r="146">
      <c r="A146" s="4" t="n">
        <v>45791</v>
      </c>
      <c r="B146" t="inlineStr">
        <is>
          <t>SPY</t>
        </is>
      </c>
      <c r="C146" t="n">
        <v>452.13</v>
      </c>
    </row>
    <row r="147">
      <c r="A147" s="4" t="n">
        <v>45792</v>
      </c>
      <c r="B147" t="inlineStr">
        <is>
          <t>SPY</t>
        </is>
      </c>
      <c r="C147" t="n">
        <v>447.7</v>
      </c>
    </row>
    <row r="148">
      <c r="A148" s="4" t="n">
        <v>45793</v>
      </c>
      <c r="B148" t="inlineStr">
        <is>
          <t>SPY</t>
        </is>
      </c>
      <c r="C148" t="n">
        <v>445.48</v>
      </c>
    </row>
    <row r="149">
      <c r="A149" s="4" t="n">
        <v>45794</v>
      </c>
      <c r="B149" t="inlineStr">
        <is>
          <t>SPY</t>
        </is>
      </c>
      <c r="C149" t="n">
        <v>438.36</v>
      </c>
    </row>
    <row r="150">
      <c r="A150" s="4" t="n">
        <v>45795</v>
      </c>
      <c r="B150" t="inlineStr">
        <is>
          <t>SPY</t>
        </is>
      </c>
      <c r="C150" t="n">
        <v>436.12</v>
      </c>
    </row>
    <row r="151">
      <c r="A151" s="4" t="n">
        <v>45796</v>
      </c>
      <c r="B151" t="inlineStr">
        <is>
          <t>SPY</t>
        </is>
      </c>
      <c r="C151" t="n">
        <v>422.94</v>
      </c>
    </row>
    <row r="152">
      <c r="A152" s="4" t="n">
        <v>45797</v>
      </c>
      <c r="B152" t="inlineStr">
        <is>
          <t>SPY</t>
        </is>
      </c>
      <c r="C152" t="n">
        <v>423.27</v>
      </c>
    </row>
    <row r="153">
      <c r="A153" s="4" t="n">
        <v>45798</v>
      </c>
      <c r="B153" t="inlineStr">
        <is>
          <t>SPY</t>
        </is>
      </c>
      <c r="C153" t="n">
        <v>408.3</v>
      </c>
    </row>
    <row r="154">
      <c r="A154" s="4" t="n">
        <v>45799</v>
      </c>
      <c r="B154" t="inlineStr">
        <is>
          <t>SPY</t>
        </is>
      </c>
      <c r="C154" t="n">
        <v>406.92</v>
      </c>
    </row>
    <row r="155">
      <c r="A155" s="4" t="n">
        <v>45800</v>
      </c>
      <c r="B155" t="inlineStr">
        <is>
          <t>SPY</t>
        </is>
      </c>
      <c r="C155" t="n">
        <v>412.8</v>
      </c>
    </row>
    <row r="156">
      <c r="A156" s="4" t="n">
        <v>45801</v>
      </c>
      <c r="B156" t="inlineStr">
        <is>
          <t>SPY</t>
        </is>
      </c>
      <c r="C156" t="n">
        <v>422.02</v>
      </c>
    </row>
    <row r="157">
      <c r="A157" s="4" t="n">
        <v>45802</v>
      </c>
      <c r="B157" t="inlineStr">
        <is>
          <t>SPY</t>
        </is>
      </c>
      <c r="C157" t="n">
        <v>436.7</v>
      </c>
    </row>
    <row r="158">
      <c r="A158" s="4" t="n">
        <v>45803</v>
      </c>
      <c r="B158" t="inlineStr">
        <is>
          <t>SPY</t>
        </is>
      </c>
      <c r="C158" t="n">
        <v>423.33</v>
      </c>
    </row>
    <row r="159">
      <c r="A159" s="4" t="n">
        <v>45804</v>
      </c>
      <c r="B159" t="inlineStr">
        <is>
          <t>SPY</t>
        </is>
      </c>
      <c r="C159" t="n">
        <v>429.96</v>
      </c>
    </row>
    <row r="160">
      <c r="A160" s="4" t="n">
        <v>45805</v>
      </c>
      <c r="B160" t="inlineStr">
        <is>
          <t>SPY</t>
        </is>
      </c>
      <c r="C160" t="n">
        <v>440.55</v>
      </c>
    </row>
    <row r="161">
      <c r="A161" s="4" t="n">
        <v>45806</v>
      </c>
      <c r="B161" t="inlineStr">
        <is>
          <t>SPY</t>
        </is>
      </c>
      <c r="C161" t="n">
        <v>449.41</v>
      </c>
    </row>
    <row r="162">
      <c r="A162" s="4" t="n">
        <v>45807</v>
      </c>
      <c r="B162" t="inlineStr">
        <is>
          <t>SPY</t>
        </is>
      </c>
      <c r="C162" t="n">
        <v>441.28</v>
      </c>
    </row>
    <row r="163">
      <c r="A163" s="4" t="n">
        <v>45808</v>
      </c>
      <c r="B163" t="inlineStr">
        <is>
          <t>SPY</t>
        </is>
      </c>
      <c r="C163" t="n">
        <v>445.14</v>
      </c>
    </row>
    <row r="164">
      <c r="A164" s="4" t="n">
        <v>45809</v>
      </c>
      <c r="B164" t="inlineStr">
        <is>
          <t>SPY</t>
        </is>
      </c>
      <c r="C164" t="n">
        <v>461.92</v>
      </c>
    </row>
    <row r="165">
      <c r="A165" s="4" t="n">
        <v>45810</v>
      </c>
      <c r="B165" t="inlineStr">
        <is>
          <t>SPY</t>
        </is>
      </c>
      <c r="C165" t="n">
        <v>448.32</v>
      </c>
    </row>
    <row r="166">
      <c r="A166" s="4" t="n">
        <v>45811</v>
      </c>
      <c r="B166" t="inlineStr">
        <is>
          <t>SPY</t>
        </is>
      </c>
      <c r="C166" t="n">
        <v>452.81</v>
      </c>
    </row>
    <row r="167">
      <c r="A167" s="4" t="n">
        <v>45812</v>
      </c>
      <c r="B167" t="inlineStr">
        <is>
          <t>SPY</t>
        </is>
      </c>
      <c r="C167" t="n">
        <v>463.11</v>
      </c>
    </row>
    <row r="168">
      <c r="A168" s="4" t="n">
        <v>45813</v>
      </c>
      <c r="B168" t="inlineStr">
        <is>
          <t>SPY</t>
        </is>
      </c>
      <c r="C168" t="n">
        <v>456.89</v>
      </c>
    </row>
    <row r="169">
      <c r="A169" s="4" t="n">
        <v>45814</v>
      </c>
      <c r="B169" t="inlineStr">
        <is>
          <t>SPY</t>
        </is>
      </c>
      <c r="C169" t="n">
        <v>462.45</v>
      </c>
    </row>
    <row r="170">
      <c r="A170" s="4" t="n">
        <v>45815</v>
      </c>
      <c r="B170" t="inlineStr">
        <is>
          <t>SPY</t>
        </is>
      </c>
      <c r="C170" t="n">
        <v>452.77</v>
      </c>
    </row>
    <row r="171">
      <c r="A171" s="4" t="n">
        <v>45816</v>
      </c>
      <c r="B171" t="inlineStr">
        <is>
          <t>SPY</t>
        </is>
      </c>
      <c r="C171" t="n">
        <v>445.65</v>
      </c>
    </row>
    <row r="172">
      <c r="A172" s="4" t="n">
        <v>45817</v>
      </c>
      <c r="B172" t="inlineStr">
        <is>
          <t>SPY</t>
        </is>
      </c>
      <c r="C172" t="n">
        <v>438.59</v>
      </c>
    </row>
    <row r="173">
      <c r="A173" s="4" t="n">
        <v>45818</v>
      </c>
      <c r="B173" t="inlineStr">
        <is>
          <t>SPY</t>
        </is>
      </c>
      <c r="C173" t="n">
        <v>440.49</v>
      </c>
    </row>
    <row r="174">
      <c r="A174" s="4" t="n">
        <v>45819</v>
      </c>
      <c r="B174" t="inlineStr">
        <is>
          <t>SPY</t>
        </is>
      </c>
      <c r="C174" t="n">
        <v>439.91</v>
      </c>
    </row>
    <row r="175">
      <c r="A175" s="4" t="n">
        <v>45820</v>
      </c>
      <c r="B175" t="inlineStr">
        <is>
          <t>SPY</t>
        </is>
      </c>
      <c r="C175" t="n">
        <v>448.52</v>
      </c>
    </row>
    <row r="176">
      <c r="A176" s="4" t="n">
        <v>45821</v>
      </c>
      <c r="B176" t="inlineStr">
        <is>
          <t>SPY</t>
        </is>
      </c>
      <c r="C176" t="n">
        <v>440.31</v>
      </c>
    </row>
    <row r="177">
      <c r="A177" s="4" t="n">
        <v>45822</v>
      </c>
      <c r="B177" t="inlineStr">
        <is>
          <t>SPY</t>
        </is>
      </c>
      <c r="C177" t="n">
        <v>439.38</v>
      </c>
    </row>
    <row r="178">
      <c r="A178" s="4" t="n">
        <v>45823</v>
      </c>
      <c r="B178" t="inlineStr">
        <is>
          <t>SPY</t>
        </is>
      </c>
      <c r="C178" t="n">
        <v>448.04</v>
      </c>
    </row>
    <row r="179">
      <c r="A179" s="4" t="n">
        <v>45824</v>
      </c>
      <c r="B179" t="inlineStr">
        <is>
          <t>SPY</t>
        </is>
      </c>
      <c r="C179" t="n">
        <v>453.29</v>
      </c>
    </row>
    <row r="180">
      <c r="A180" s="4" t="n">
        <v>45825</v>
      </c>
      <c r="B180" t="inlineStr">
        <is>
          <t>SPY</t>
        </is>
      </c>
      <c r="C180" t="n">
        <v>441.51</v>
      </c>
    </row>
    <row r="181">
      <c r="A181" s="4" t="n">
        <v>45826</v>
      </c>
      <c r="B181" t="inlineStr">
        <is>
          <t>SPY</t>
        </is>
      </c>
      <c r="C181" t="n">
        <v>447.61</v>
      </c>
    </row>
    <row r="182">
      <c r="A182" s="4" t="n">
        <v>45827</v>
      </c>
      <c r="B182" t="inlineStr">
        <is>
          <t>SPY</t>
        </is>
      </c>
      <c r="C182" t="n">
        <v>443.55</v>
      </c>
    </row>
    <row r="183">
      <c r="A183" s="4" t="n">
        <v>45828</v>
      </c>
      <c r="B183" t="inlineStr">
        <is>
          <t>SPY</t>
        </is>
      </c>
      <c r="C183" t="n">
        <v>447.19</v>
      </c>
    </row>
    <row r="184">
      <c r="A184" s="4" t="n">
        <v>45829</v>
      </c>
      <c r="B184" t="inlineStr">
        <is>
          <t>SPY</t>
        </is>
      </c>
      <c r="C184" t="n">
        <v>450.1</v>
      </c>
    </row>
    <row r="185">
      <c r="A185" s="4" t="n">
        <v>45830</v>
      </c>
      <c r="B185" t="inlineStr">
        <is>
          <t>SPY</t>
        </is>
      </c>
      <c r="C185" t="n">
        <v>461.3</v>
      </c>
    </row>
    <row r="186">
      <c r="A186" s="4" t="n">
        <v>45831</v>
      </c>
      <c r="B186" t="inlineStr">
        <is>
          <t>SPY</t>
        </is>
      </c>
      <c r="C186" t="n">
        <v>462.61</v>
      </c>
    </row>
    <row r="187">
      <c r="A187" s="4" t="n">
        <v>45832</v>
      </c>
      <c r="B187" t="inlineStr">
        <is>
          <t>SPY</t>
        </is>
      </c>
      <c r="C187" t="n">
        <v>445.69</v>
      </c>
    </row>
    <row r="188">
      <c r="A188" s="4" t="n">
        <v>45833</v>
      </c>
      <c r="B188" t="inlineStr">
        <is>
          <t>SPY</t>
        </is>
      </c>
      <c r="C188" t="n">
        <v>433.7</v>
      </c>
    </row>
    <row r="189">
      <c r="A189" s="4" t="n">
        <v>45834</v>
      </c>
      <c r="B189" t="inlineStr">
        <is>
          <t>SPY</t>
        </is>
      </c>
      <c r="C189" t="n">
        <v>440.26</v>
      </c>
    </row>
    <row r="190">
      <c r="A190" s="4" t="n">
        <v>45835</v>
      </c>
      <c r="B190" t="inlineStr">
        <is>
          <t>SPY</t>
        </is>
      </c>
      <c r="C190" t="n">
        <v>438.2</v>
      </c>
    </row>
    <row r="191">
      <c r="A191" s="4" t="n">
        <v>45836</v>
      </c>
      <c r="B191" t="inlineStr">
        <is>
          <t>SPY</t>
        </is>
      </c>
      <c r="C191" t="n">
        <v>448.4</v>
      </c>
    </row>
    <row r="192">
      <c r="A192" s="4" t="n">
        <v>45837</v>
      </c>
      <c r="B192" t="inlineStr">
        <is>
          <t>SPY</t>
        </is>
      </c>
      <c r="C192" t="n">
        <v>451.07</v>
      </c>
    </row>
    <row r="193">
      <c r="A193" s="4" t="n">
        <v>45838</v>
      </c>
      <c r="B193" t="inlineStr">
        <is>
          <t>SPY</t>
        </is>
      </c>
      <c r="C193" t="n">
        <v>444.54</v>
      </c>
    </row>
    <row r="194">
      <c r="A194" s="4" t="n">
        <v>45839</v>
      </c>
      <c r="B194" t="inlineStr">
        <is>
          <t>SPY</t>
        </is>
      </c>
      <c r="C194" t="n">
        <v>454.39</v>
      </c>
    </row>
    <row r="195">
      <c r="A195" s="4" t="n">
        <v>45840</v>
      </c>
      <c r="B195" t="inlineStr">
        <is>
          <t>SPY</t>
        </is>
      </c>
      <c r="C195" t="n">
        <v>447.28</v>
      </c>
    </row>
    <row r="196">
      <c r="A196" s="4" t="n">
        <v>45841</v>
      </c>
      <c r="B196" t="inlineStr">
        <is>
          <t>SPY</t>
        </is>
      </c>
      <c r="C196" t="n">
        <v>429.14</v>
      </c>
    </row>
    <row r="197">
      <c r="A197" s="4" t="n">
        <v>45842</v>
      </c>
      <c r="B197" t="inlineStr">
        <is>
          <t>SPY</t>
        </is>
      </c>
      <c r="C197" t="n">
        <v>447.06</v>
      </c>
    </row>
    <row r="198">
      <c r="A198" s="4" t="n">
        <v>45843</v>
      </c>
      <c r="B198" t="inlineStr">
        <is>
          <t>SPY</t>
        </is>
      </c>
      <c r="C198" t="n">
        <v>430.2</v>
      </c>
    </row>
    <row r="199">
      <c r="A199" s="4" t="n">
        <v>45844</v>
      </c>
      <c r="B199" t="inlineStr">
        <is>
          <t>SPY</t>
        </is>
      </c>
      <c r="C199" t="n">
        <v>435.89</v>
      </c>
    </row>
    <row r="200">
      <c r="A200" s="4" t="n">
        <v>45845</v>
      </c>
      <c r="B200" t="inlineStr">
        <is>
          <t>SPY</t>
        </is>
      </c>
      <c r="C200" t="n">
        <v>444.3</v>
      </c>
    </row>
    <row r="201">
      <c r="A201" s="4" t="n">
        <v>45846</v>
      </c>
      <c r="B201" t="inlineStr">
        <is>
          <t>SPY</t>
        </is>
      </c>
      <c r="C201" t="n">
        <v>445.83</v>
      </c>
    </row>
    <row r="202">
      <c r="A202" s="4" t="n">
        <v>45847</v>
      </c>
      <c r="B202" t="inlineStr">
        <is>
          <t>SPY</t>
        </is>
      </c>
      <c r="C202" t="n">
        <v>431.04</v>
      </c>
    </row>
    <row r="203">
      <c r="A203" s="4" t="n">
        <v>45848</v>
      </c>
      <c r="B203" t="inlineStr">
        <is>
          <t>SPY</t>
        </is>
      </c>
      <c r="C203" t="n">
        <v>440</v>
      </c>
    </row>
    <row r="204">
      <c r="A204" s="4" t="n">
        <v>45849</v>
      </c>
      <c r="B204" t="inlineStr">
        <is>
          <t>SPY</t>
        </is>
      </c>
      <c r="C204" t="n">
        <v>427.54</v>
      </c>
    </row>
    <row r="205">
      <c r="A205" s="4" t="n">
        <v>45850</v>
      </c>
      <c r="B205" t="inlineStr">
        <is>
          <t>SPY</t>
        </is>
      </c>
      <c r="C205" t="n">
        <v>416.26</v>
      </c>
    </row>
    <row r="206">
      <c r="A206" s="4" t="n">
        <v>45851</v>
      </c>
      <c r="B206" t="inlineStr">
        <is>
          <t>SPY</t>
        </is>
      </c>
      <c r="C206" t="n">
        <v>413.46</v>
      </c>
    </row>
    <row r="207">
      <c r="A207" s="4" t="n">
        <v>45852</v>
      </c>
      <c r="B207" t="inlineStr">
        <is>
          <t>SPY</t>
        </is>
      </c>
      <c r="C207" t="n">
        <v>420.19</v>
      </c>
    </row>
    <row r="208">
      <c r="A208" s="4" t="n">
        <v>45853</v>
      </c>
      <c r="B208" t="inlineStr">
        <is>
          <t>SPY</t>
        </is>
      </c>
      <c r="C208" t="n">
        <v>422.92</v>
      </c>
    </row>
    <row r="209">
      <c r="A209" s="4" t="n">
        <v>45854</v>
      </c>
      <c r="B209" t="inlineStr">
        <is>
          <t>SPY</t>
        </is>
      </c>
      <c r="C209" t="n">
        <v>429.99</v>
      </c>
    </row>
    <row r="210">
      <c r="A210" s="4" t="n">
        <v>45855</v>
      </c>
      <c r="B210" t="inlineStr">
        <is>
          <t>SPY</t>
        </is>
      </c>
      <c r="C210" t="n">
        <v>426.39</v>
      </c>
    </row>
    <row r="211">
      <c r="A211" s="4" t="n">
        <v>45856</v>
      </c>
      <c r="B211" t="inlineStr">
        <is>
          <t>SPY</t>
        </is>
      </c>
      <c r="C211" t="n">
        <v>425.13</v>
      </c>
    </row>
    <row r="212">
      <c r="A212" s="4" t="n">
        <v>45857</v>
      </c>
      <c r="B212" t="inlineStr">
        <is>
          <t>SPY</t>
        </is>
      </c>
      <c r="C212" t="n">
        <v>415.68</v>
      </c>
    </row>
    <row r="213">
      <c r="A213" s="4" t="n">
        <v>45858</v>
      </c>
      <c r="B213" t="inlineStr">
        <is>
          <t>SPY</t>
        </is>
      </c>
      <c r="C213" t="n">
        <v>413.25</v>
      </c>
    </row>
    <row r="214">
      <c r="A214" s="4" t="n">
        <v>45859</v>
      </c>
      <c r="B214" t="inlineStr">
        <is>
          <t>SPY</t>
        </is>
      </c>
      <c r="C214" t="n">
        <v>418.36</v>
      </c>
    </row>
    <row r="215">
      <c r="A215" s="4" t="n">
        <v>45860</v>
      </c>
      <c r="B215" t="inlineStr">
        <is>
          <t>SPY</t>
        </is>
      </c>
      <c r="C215" t="n">
        <v>416.06</v>
      </c>
    </row>
    <row r="216">
      <c r="A216" s="4" t="n">
        <v>45861</v>
      </c>
      <c r="B216" t="inlineStr">
        <is>
          <t>SPY</t>
        </is>
      </c>
      <c r="C216" t="n">
        <v>420.23</v>
      </c>
    </row>
    <row r="217">
      <c r="A217" s="4" t="n">
        <v>45862</v>
      </c>
      <c r="B217" t="inlineStr">
        <is>
          <t>SPY</t>
        </is>
      </c>
      <c r="C217" t="n">
        <v>415.62</v>
      </c>
    </row>
    <row r="218">
      <c r="A218" s="4" t="n">
        <v>45863</v>
      </c>
      <c r="B218" t="inlineStr">
        <is>
          <t>SPY</t>
        </is>
      </c>
      <c r="C218" t="n">
        <v>410.9</v>
      </c>
    </row>
    <row r="219">
      <c r="A219" s="4" t="n">
        <v>45864</v>
      </c>
      <c r="B219" t="inlineStr">
        <is>
          <t>SPY</t>
        </is>
      </c>
      <c r="C219" t="n">
        <v>411.43</v>
      </c>
    </row>
    <row r="220">
      <c r="A220" s="4" t="n">
        <v>45865</v>
      </c>
      <c r="B220" t="inlineStr">
        <is>
          <t>SPY</t>
        </is>
      </c>
      <c r="C220" t="n">
        <v>410.03</v>
      </c>
    </row>
    <row r="221">
      <c r="A221" s="4" t="n">
        <v>45866</v>
      </c>
      <c r="B221" t="inlineStr">
        <is>
          <t>SPY</t>
        </is>
      </c>
      <c r="C221" t="n">
        <v>415.09</v>
      </c>
    </row>
    <row r="222">
      <c r="A222" s="4" t="n">
        <v>45867</v>
      </c>
      <c r="B222" t="inlineStr">
        <is>
          <t>SPY</t>
        </is>
      </c>
      <c r="C222" t="n">
        <v>416.78</v>
      </c>
    </row>
    <row r="223">
      <c r="A223" s="4" t="n">
        <v>45868</v>
      </c>
      <c r="B223" t="inlineStr">
        <is>
          <t>SPY</t>
        </is>
      </c>
      <c r="C223" t="n">
        <v>431.5</v>
      </c>
    </row>
    <row r="224">
      <c r="A224" s="4" t="n">
        <v>45869</v>
      </c>
      <c r="B224" t="inlineStr">
        <is>
          <t>SPY</t>
        </is>
      </c>
      <c r="C224" t="n">
        <v>429.82</v>
      </c>
    </row>
    <row r="225">
      <c r="A225" s="4" t="n">
        <v>45870</v>
      </c>
      <c r="B225" t="inlineStr">
        <is>
          <t>SPY</t>
        </is>
      </c>
      <c r="C225" t="n">
        <v>428.08</v>
      </c>
    </row>
    <row r="226">
      <c r="A226" s="4" t="n">
        <v>45871</v>
      </c>
      <c r="B226" t="inlineStr">
        <is>
          <t>SPY</t>
        </is>
      </c>
      <c r="C226" t="n">
        <v>419.39</v>
      </c>
    </row>
    <row r="227">
      <c r="A227" s="4" t="n">
        <v>45872</v>
      </c>
      <c r="B227" t="inlineStr">
        <is>
          <t>SPY</t>
        </is>
      </c>
      <c r="C227" t="n">
        <v>419.79</v>
      </c>
    </row>
    <row r="228">
      <c r="A228" s="4" t="n">
        <v>45873</v>
      </c>
      <c r="B228" t="inlineStr">
        <is>
          <t>SPY</t>
        </is>
      </c>
      <c r="C228" t="n">
        <v>425.73</v>
      </c>
    </row>
    <row r="229">
      <c r="A229" s="4" t="n">
        <v>45874</v>
      </c>
      <c r="B229" t="inlineStr">
        <is>
          <t>SPY</t>
        </is>
      </c>
      <c r="C229" t="n">
        <v>419.64</v>
      </c>
    </row>
    <row r="230">
      <c r="A230" s="4" t="n">
        <v>45875</v>
      </c>
      <c r="B230" t="inlineStr">
        <is>
          <t>SPY</t>
        </is>
      </c>
      <c r="C230" t="n">
        <v>419.43</v>
      </c>
    </row>
    <row r="231">
      <c r="A231" s="4" t="n">
        <v>45876</v>
      </c>
      <c r="B231" t="inlineStr">
        <is>
          <t>SPY</t>
        </is>
      </c>
      <c r="C231" t="n">
        <v>425.67</v>
      </c>
    </row>
    <row r="232">
      <c r="A232" s="4" t="n">
        <v>45877</v>
      </c>
      <c r="B232" t="inlineStr">
        <is>
          <t>SPY</t>
        </is>
      </c>
      <c r="C232" t="n">
        <v>424.8</v>
      </c>
    </row>
    <row r="233">
      <c r="A233" s="4" t="n">
        <v>45878</v>
      </c>
      <c r="B233" t="inlineStr">
        <is>
          <t>SPY</t>
        </is>
      </c>
      <c r="C233" t="n">
        <v>420.61</v>
      </c>
    </row>
    <row r="234">
      <c r="A234" s="4" t="n">
        <v>45879</v>
      </c>
      <c r="B234" t="inlineStr">
        <is>
          <t>SPY</t>
        </is>
      </c>
      <c r="C234" t="n">
        <v>429</v>
      </c>
    </row>
    <row r="235">
      <c r="A235" s="4" t="n">
        <v>45880</v>
      </c>
      <c r="B235" t="inlineStr">
        <is>
          <t>SPY</t>
        </is>
      </c>
      <c r="C235" t="n">
        <v>430.05</v>
      </c>
    </row>
    <row r="236">
      <c r="A236" s="4" t="n">
        <v>45881</v>
      </c>
      <c r="B236" t="inlineStr">
        <is>
          <t>SPY</t>
        </is>
      </c>
      <c r="C236" t="n">
        <v>433.67</v>
      </c>
    </row>
    <row r="237">
      <c r="A237" s="4" t="n">
        <v>45882</v>
      </c>
      <c r="B237" t="inlineStr">
        <is>
          <t>SPY</t>
        </is>
      </c>
      <c r="C237" t="n">
        <v>444.05</v>
      </c>
    </row>
    <row r="238">
      <c r="A238" s="4" t="n">
        <v>45883</v>
      </c>
      <c r="B238" t="inlineStr">
        <is>
          <t>SPY</t>
        </is>
      </c>
      <c r="C238" t="n">
        <v>454.44</v>
      </c>
    </row>
    <row r="239">
      <c r="A239" s="4" t="n">
        <v>45884</v>
      </c>
      <c r="B239" t="inlineStr">
        <is>
          <t>SPY</t>
        </is>
      </c>
      <c r="C239" t="n">
        <v>451.52</v>
      </c>
    </row>
    <row r="240">
      <c r="A240" s="4" t="n">
        <v>45885</v>
      </c>
      <c r="B240" t="inlineStr">
        <is>
          <t>SPY</t>
        </is>
      </c>
      <c r="C240" t="n">
        <v>447</v>
      </c>
    </row>
    <row r="241">
      <c r="A241" s="4" t="n">
        <v>45886</v>
      </c>
      <c r="B241" t="inlineStr">
        <is>
          <t>SPY</t>
        </is>
      </c>
      <c r="C241" t="n">
        <v>449.76</v>
      </c>
    </row>
    <row r="242">
      <c r="A242" s="4" t="n">
        <v>45887</v>
      </c>
      <c r="B242" t="inlineStr">
        <is>
          <t>SPY</t>
        </is>
      </c>
      <c r="C242" t="n">
        <v>448.79</v>
      </c>
    </row>
    <row r="243">
      <c r="A243" s="4" t="n">
        <v>45888</v>
      </c>
      <c r="B243" t="inlineStr">
        <is>
          <t>SPY</t>
        </is>
      </c>
      <c r="C243" t="n">
        <v>431.96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</cols>
  <sheetData>
    <row r="1">
      <c r="A1" s="3" t="inlineStr">
        <is>
          <t>Date</t>
        </is>
      </c>
      <c r="B1" s="3" t="inlineStr">
        <is>
          <t>FNGU_Value</t>
        </is>
      </c>
      <c r="C1" s="3" t="inlineStr">
        <is>
          <t>SPY_Value</t>
        </is>
      </c>
      <c r="D1" s="3" t="inlineStr">
        <is>
          <t>TotalValue</t>
        </is>
      </c>
    </row>
    <row r="2">
      <c r="A2" s="4" t="n">
        <v>45768</v>
      </c>
      <c r="B2" t="n">
        <v>4654.5</v>
      </c>
      <c r="C2" t="n">
        <v>10229.2</v>
      </c>
      <c r="D2" t="n">
        <v>14883.7</v>
      </c>
    </row>
    <row r="3">
      <c r="A3" s="4" t="n">
        <v>45769</v>
      </c>
      <c r="B3" t="n">
        <v>4614</v>
      </c>
      <c r="C3" t="n">
        <v>10364.8</v>
      </c>
      <c r="D3" t="n">
        <v>14978.8</v>
      </c>
    </row>
    <row r="4">
      <c r="A4" s="4" t="n">
        <v>45770</v>
      </c>
      <c r="B4" t="n">
        <v>4618.5</v>
      </c>
      <c r="C4" t="n">
        <v>10397</v>
      </c>
      <c r="D4" t="n">
        <v>15015.5</v>
      </c>
    </row>
    <row r="5">
      <c r="A5" s="4" t="n">
        <v>45771</v>
      </c>
      <c r="B5" t="n">
        <v>4659</v>
      </c>
      <c r="C5" t="n">
        <v>10386.4</v>
      </c>
      <c r="D5" t="n">
        <v>15045.4</v>
      </c>
    </row>
    <row r="6">
      <c r="A6" s="4" t="n">
        <v>45772</v>
      </c>
      <c r="B6" t="n">
        <v>4587</v>
      </c>
      <c r="C6" t="n">
        <v>10553.8</v>
      </c>
      <c r="D6" t="n">
        <v>15140.8</v>
      </c>
    </row>
    <row r="7">
      <c r="A7" s="4" t="n">
        <v>45773</v>
      </c>
      <c r="B7" t="n">
        <v>4590</v>
      </c>
      <c r="C7" t="n">
        <v>10662.4</v>
      </c>
      <c r="D7" t="n">
        <v>15252.4</v>
      </c>
    </row>
    <row r="8">
      <c r="A8" s="4" t="n">
        <v>45774</v>
      </c>
      <c r="B8" t="n">
        <v>4591.5</v>
      </c>
      <c r="C8" t="n">
        <v>10744.8</v>
      </c>
      <c r="D8" t="n">
        <v>15336.3</v>
      </c>
    </row>
    <row r="9">
      <c r="A9" s="4" t="n">
        <v>45775</v>
      </c>
      <c r="B9" t="n">
        <v>4434</v>
      </c>
      <c r="C9" t="n">
        <v>10957.4</v>
      </c>
      <c r="D9" t="n">
        <v>15391.4</v>
      </c>
    </row>
    <row r="10">
      <c r="A10" s="4" t="n">
        <v>45776</v>
      </c>
      <c r="B10" t="n">
        <v>4525.5</v>
      </c>
      <c r="C10" t="n">
        <v>11025</v>
      </c>
      <c r="D10" t="n">
        <v>15550.5</v>
      </c>
    </row>
    <row r="11">
      <c r="A11" s="4" t="n">
        <v>45777</v>
      </c>
      <c r="B11" t="n">
        <v>4582.5</v>
      </c>
      <c r="C11" t="n">
        <v>10894.6</v>
      </c>
      <c r="D11" t="n">
        <v>15477.1</v>
      </c>
    </row>
    <row r="12">
      <c r="A12" s="4" t="n">
        <v>45778</v>
      </c>
      <c r="B12" t="n">
        <v>4527</v>
      </c>
      <c r="C12" t="n">
        <v>10821</v>
      </c>
      <c r="D12" t="n">
        <v>15348</v>
      </c>
    </row>
    <row r="13">
      <c r="A13" s="4" t="n">
        <v>45779</v>
      </c>
      <c r="B13" t="n">
        <v>4513.5</v>
      </c>
      <c r="C13" t="n">
        <v>10713.8</v>
      </c>
      <c r="D13" t="n">
        <v>15227.3</v>
      </c>
    </row>
    <row r="14">
      <c r="A14" s="4" t="n">
        <v>45780</v>
      </c>
      <c r="B14" t="n">
        <v>4561.5</v>
      </c>
      <c r="C14" t="n">
        <v>10764</v>
      </c>
      <c r="D14" t="n">
        <v>15325.5</v>
      </c>
    </row>
    <row r="15">
      <c r="A15" s="4" t="n">
        <v>45781</v>
      </c>
      <c r="B15" t="n">
        <v>4540.5</v>
      </c>
      <c r="C15" t="n">
        <v>10537.4</v>
      </c>
      <c r="D15" t="n">
        <v>15077.9</v>
      </c>
    </row>
    <row r="16">
      <c r="A16" s="4" t="n">
        <v>45782</v>
      </c>
      <c r="B16" t="n">
        <v>4521</v>
      </c>
      <c r="C16" t="n">
        <v>10156.4</v>
      </c>
      <c r="D16" t="n">
        <v>14677.4</v>
      </c>
    </row>
    <row r="17">
      <c r="A17" s="4" t="n">
        <v>45783</v>
      </c>
      <c r="B17" t="n">
        <v>4392</v>
      </c>
      <c r="C17" t="n">
        <v>10179.4</v>
      </c>
      <c r="D17" t="n">
        <v>14571.4</v>
      </c>
    </row>
    <row r="18">
      <c r="A18" s="4" t="n">
        <v>45784</v>
      </c>
      <c r="B18" t="n">
        <v>4443</v>
      </c>
      <c r="C18" t="n">
        <v>9912.4</v>
      </c>
      <c r="D18" t="n">
        <v>14355.4</v>
      </c>
    </row>
    <row r="19">
      <c r="A19" s="4" t="n">
        <v>45785</v>
      </c>
      <c r="B19" t="n">
        <v>4455</v>
      </c>
      <c r="C19" t="n">
        <v>9530.4</v>
      </c>
      <c r="D19" t="n">
        <v>13985.4</v>
      </c>
    </row>
    <row r="20">
      <c r="A20" s="4" t="n">
        <v>45786</v>
      </c>
      <c r="B20" t="n">
        <v>4482</v>
      </c>
      <c r="C20" t="n">
        <v>9606.4</v>
      </c>
      <c r="D20" t="n">
        <v>14088.4</v>
      </c>
    </row>
    <row r="21">
      <c r="A21" s="4" t="n">
        <v>45787</v>
      </c>
      <c r="B21" t="n">
        <v>4347</v>
      </c>
      <c r="C21" t="n">
        <v>9474.6</v>
      </c>
      <c r="D21" t="n">
        <v>13821.6</v>
      </c>
    </row>
    <row r="22">
      <c r="A22" s="4" t="n">
        <v>45788</v>
      </c>
      <c r="B22" t="n">
        <v>4494</v>
      </c>
      <c r="C22" t="n">
        <v>9573.200000000001</v>
      </c>
      <c r="D22" t="n">
        <v>14067.2</v>
      </c>
    </row>
    <row r="23">
      <c r="A23" s="4" t="n">
        <v>45789</v>
      </c>
      <c r="B23" t="n">
        <v>4509</v>
      </c>
      <c r="C23" t="n">
        <v>9476.4</v>
      </c>
      <c r="D23" t="n">
        <v>13985.4</v>
      </c>
    </row>
    <row r="24">
      <c r="A24" s="4" t="n">
        <v>45790</v>
      </c>
      <c r="B24" t="n">
        <v>4477.5</v>
      </c>
      <c r="C24" t="n">
        <v>9268.4</v>
      </c>
      <c r="D24" t="n">
        <v>13745.9</v>
      </c>
    </row>
    <row r="25">
      <c r="A25" s="4" t="n">
        <v>45791</v>
      </c>
      <c r="B25" t="n">
        <v>4660.5</v>
      </c>
      <c r="C25" t="n">
        <v>9042.6</v>
      </c>
      <c r="D25" t="n">
        <v>13703.1</v>
      </c>
    </row>
    <row r="26">
      <c r="A26" s="4" t="n">
        <v>45792</v>
      </c>
      <c r="B26" t="n">
        <v>4659</v>
      </c>
      <c r="C26" t="n">
        <v>8954</v>
      </c>
      <c r="D26" t="n">
        <v>13613</v>
      </c>
    </row>
    <row r="27">
      <c r="A27" s="4" t="n">
        <v>45793</v>
      </c>
      <c r="B27" t="n">
        <v>4525.5</v>
      </c>
      <c r="C27" t="n">
        <v>8909.6</v>
      </c>
      <c r="D27" t="n">
        <v>13435.1</v>
      </c>
    </row>
    <row r="28">
      <c r="A28" s="4" t="n">
        <v>45794</v>
      </c>
      <c r="B28" t="n">
        <v>4491</v>
      </c>
      <c r="C28" t="n">
        <v>8767.200000000001</v>
      </c>
      <c r="D28" t="n">
        <v>13258.2</v>
      </c>
    </row>
    <row r="29">
      <c r="A29" s="4" t="n">
        <v>45795</v>
      </c>
      <c r="B29" t="n">
        <v>4288.5</v>
      </c>
      <c r="C29" t="n">
        <v>8722.4</v>
      </c>
      <c r="D29" t="n">
        <v>13010.9</v>
      </c>
    </row>
    <row r="30">
      <c r="A30" s="4" t="n">
        <v>45796</v>
      </c>
      <c r="B30" t="n">
        <v>4380</v>
      </c>
      <c r="C30" t="n">
        <v>8458.799999999999</v>
      </c>
      <c r="D30" t="n">
        <v>12838.8</v>
      </c>
    </row>
    <row r="31">
      <c r="A31" s="4" t="n">
        <v>45797</v>
      </c>
      <c r="B31" t="n">
        <v>4345.5</v>
      </c>
      <c r="C31" t="n">
        <v>8465.4</v>
      </c>
      <c r="D31" t="n">
        <v>12810.9</v>
      </c>
    </row>
    <row r="32">
      <c r="A32" s="4" t="n">
        <v>45798</v>
      </c>
      <c r="B32" t="n">
        <v>4284</v>
      </c>
      <c r="C32" t="n">
        <v>8166</v>
      </c>
      <c r="D32" t="n">
        <v>12450</v>
      </c>
    </row>
    <row r="33">
      <c r="A33" s="4" t="n">
        <v>45799</v>
      </c>
      <c r="B33" t="n">
        <v>4378.5</v>
      </c>
      <c r="C33" t="n">
        <v>8138.4</v>
      </c>
      <c r="D33" t="n">
        <v>12516.9</v>
      </c>
    </row>
    <row r="34">
      <c r="A34" s="4" t="n">
        <v>45800</v>
      </c>
      <c r="B34" t="n">
        <v>4236</v>
      </c>
      <c r="C34" t="n">
        <v>8256</v>
      </c>
      <c r="D34" t="n">
        <v>12492</v>
      </c>
    </row>
    <row r="35">
      <c r="A35" s="4" t="n">
        <v>45801</v>
      </c>
      <c r="B35" t="n">
        <v>4282.5</v>
      </c>
      <c r="C35" t="n">
        <v>8440.4</v>
      </c>
      <c r="D35" t="n">
        <v>12722.9</v>
      </c>
    </row>
    <row r="36">
      <c r="A36" s="4" t="n">
        <v>45802</v>
      </c>
      <c r="B36" t="n">
        <v>4108.5</v>
      </c>
      <c r="C36" t="n">
        <v>8734</v>
      </c>
      <c r="D36" t="n">
        <v>12842.5</v>
      </c>
    </row>
    <row r="37">
      <c r="A37" s="4" t="n">
        <v>45803</v>
      </c>
      <c r="B37" t="n">
        <v>4056</v>
      </c>
      <c r="C37" t="n">
        <v>8466.6</v>
      </c>
      <c r="D37" t="n">
        <v>12522.6</v>
      </c>
    </row>
    <row r="38">
      <c r="A38" s="4" t="n">
        <v>45804</v>
      </c>
      <c r="B38" t="n">
        <v>3960</v>
      </c>
      <c r="C38" t="n">
        <v>8599.200000000001</v>
      </c>
      <c r="D38" t="n">
        <v>12559.2</v>
      </c>
    </row>
    <row r="39">
      <c r="A39" s="4" t="n">
        <v>45805</v>
      </c>
      <c r="B39" t="n">
        <v>4078.5</v>
      </c>
      <c r="C39" t="n">
        <v>8811</v>
      </c>
      <c r="D39" t="n">
        <v>12889.5</v>
      </c>
    </row>
    <row r="40">
      <c r="A40" s="4" t="n">
        <v>45806</v>
      </c>
      <c r="B40" t="n">
        <v>4224</v>
      </c>
      <c r="C40" t="n">
        <v>8988.200000000001</v>
      </c>
      <c r="D40" t="n">
        <v>13212.2</v>
      </c>
    </row>
    <row r="41">
      <c r="A41" s="4" t="n">
        <v>45807</v>
      </c>
      <c r="B41" t="n">
        <v>4198.5</v>
      </c>
      <c r="C41" t="n">
        <v>8825.6</v>
      </c>
      <c r="D41" t="n">
        <v>13024.1</v>
      </c>
    </row>
    <row r="42">
      <c r="A42" s="4" t="n">
        <v>45808</v>
      </c>
      <c r="B42" t="n">
        <v>4270.5</v>
      </c>
      <c r="C42" t="n">
        <v>8902.799999999999</v>
      </c>
      <c r="D42" t="n">
        <v>13173.3</v>
      </c>
    </row>
    <row r="43">
      <c r="A43" s="4" t="n">
        <v>45809</v>
      </c>
      <c r="B43" t="n">
        <v>4258.5</v>
      </c>
      <c r="C43" t="n">
        <v>9238.4</v>
      </c>
      <c r="D43" t="n">
        <v>13496.9</v>
      </c>
    </row>
    <row r="44">
      <c r="A44" s="4" t="n">
        <v>45810</v>
      </c>
      <c r="B44" t="n">
        <v>4308</v>
      </c>
      <c r="C44" t="n">
        <v>8966.4</v>
      </c>
      <c r="D44" t="n">
        <v>13274.4</v>
      </c>
    </row>
    <row r="45">
      <c r="A45" s="4" t="n">
        <v>45811</v>
      </c>
      <c r="B45" t="n">
        <v>4245</v>
      </c>
      <c r="C45" t="n">
        <v>9056.200000000001</v>
      </c>
      <c r="D45" t="n">
        <v>13301.2</v>
      </c>
    </row>
    <row r="46">
      <c r="A46" s="4" t="n">
        <v>45812</v>
      </c>
      <c r="B46" t="n">
        <v>4102.5</v>
      </c>
      <c r="C46" t="n">
        <v>9262.200000000001</v>
      </c>
      <c r="D46" t="n">
        <v>13364.7</v>
      </c>
    </row>
    <row r="47">
      <c r="A47" s="4" t="n">
        <v>45813</v>
      </c>
      <c r="B47" t="n">
        <v>3957</v>
      </c>
      <c r="C47" t="n">
        <v>9137.799999999999</v>
      </c>
      <c r="D47" t="n">
        <v>13094.8</v>
      </c>
    </row>
    <row r="48">
      <c r="A48" s="4" t="n">
        <v>45814</v>
      </c>
      <c r="B48" t="n">
        <v>3988.5</v>
      </c>
      <c r="C48" t="n">
        <v>9249</v>
      </c>
      <c r="D48" t="n">
        <v>13237.5</v>
      </c>
    </row>
    <row r="49">
      <c r="A49" s="4" t="n">
        <v>45815</v>
      </c>
      <c r="B49" t="n">
        <v>4170</v>
      </c>
      <c r="C49" t="n">
        <v>9055.4</v>
      </c>
      <c r="D49" t="n">
        <v>13225.4</v>
      </c>
    </row>
    <row r="50">
      <c r="A50" s="4" t="n">
        <v>45816</v>
      </c>
      <c r="B50" t="n">
        <v>4195.5</v>
      </c>
      <c r="C50" t="n">
        <v>8913</v>
      </c>
      <c r="D50" t="n">
        <v>13108.5</v>
      </c>
    </row>
    <row r="51">
      <c r="A51" s="4" t="n">
        <v>45817</v>
      </c>
      <c r="B51" t="n">
        <v>4153.5</v>
      </c>
      <c r="C51" t="n">
        <v>8771.799999999999</v>
      </c>
      <c r="D51" t="n">
        <v>12925.3</v>
      </c>
    </row>
    <row r="52">
      <c r="A52" s="4" t="n">
        <v>45818</v>
      </c>
      <c r="B52" t="n">
        <v>4314</v>
      </c>
      <c r="C52" t="n">
        <v>8809.799999999999</v>
      </c>
      <c r="D52" t="n">
        <v>13123.8</v>
      </c>
    </row>
    <row r="53">
      <c r="A53" s="4" t="n">
        <v>45819</v>
      </c>
      <c r="B53" t="n">
        <v>4336.5</v>
      </c>
      <c r="C53" t="n">
        <v>8798.200000000001</v>
      </c>
      <c r="D53" t="n">
        <v>13134.7</v>
      </c>
    </row>
    <row r="54">
      <c r="A54" s="4" t="n">
        <v>45820</v>
      </c>
      <c r="B54" t="n">
        <v>4347</v>
      </c>
      <c r="C54" t="n">
        <v>8970.4</v>
      </c>
      <c r="D54" t="n">
        <v>13317.4</v>
      </c>
    </row>
    <row r="55">
      <c r="A55" s="4" t="n">
        <v>45821</v>
      </c>
      <c r="B55" t="n">
        <v>4371</v>
      </c>
      <c r="C55" t="n">
        <v>8806.200000000001</v>
      </c>
      <c r="D55" t="n">
        <v>13177.2</v>
      </c>
    </row>
    <row r="56">
      <c r="A56" s="4" t="n">
        <v>45822</v>
      </c>
      <c r="B56" t="n">
        <v>4362</v>
      </c>
      <c r="C56" t="n">
        <v>8787.6</v>
      </c>
      <c r="D56" t="n">
        <v>13149.6</v>
      </c>
    </row>
    <row r="57">
      <c r="A57" s="4" t="n">
        <v>45823</v>
      </c>
      <c r="B57" t="n">
        <v>4338</v>
      </c>
      <c r="C57" t="n">
        <v>8960.799999999999</v>
      </c>
      <c r="D57" t="n">
        <v>13298.8</v>
      </c>
    </row>
    <row r="58">
      <c r="A58" s="4" t="n">
        <v>45824</v>
      </c>
      <c r="B58" t="n">
        <v>4215</v>
      </c>
      <c r="C58" t="n">
        <v>9065.799999999999</v>
      </c>
      <c r="D58" t="n">
        <v>13280.8</v>
      </c>
    </row>
    <row r="59">
      <c r="A59" s="4" t="n">
        <v>45825</v>
      </c>
      <c r="B59" t="n">
        <v>4260</v>
      </c>
      <c r="C59" t="n">
        <v>8830.200000000001</v>
      </c>
      <c r="D59" t="n">
        <v>13090.2</v>
      </c>
    </row>
    <row r="60">
      <c r="A60" s="4" t="n">
        <v>45826</v>
      </c>
      <c r="B60" t="n">
        <v>4254</v>
      </c>
      <c r="C60" t="n">
        <v>8952.200000000001</v>
      </c>
      <c r="D60" t="n">
        <v>13206.2</v>
      </c>
    </row>
    <row r="61">
      <c r="A61" s="4" t="n">
        <v>45827</v>
      </c>
      <c r="B61" t="n">
        <v>4357.5</v>
      </c>
      <c r="C61" t="n">
        <v>8871</v>
      </c>
      <c r="D61" t="n">
        <v>13228.5</v>
      </c>
    </row>
    <row r="62">
      <c r="A62" s="4" t="n">
        <v>45828</v>
      </c>
      <c r="B62" t="n">
        <v>4327.5</v>
      </c>
      <c r="C62" t="n">
        <v>8943.799999999999</v>
      </c>
      <c r="D62" t="n">
        <v>13271.3</v>
      </c>
    </row>
    <row r="63">
      <c r="A63" s="4" t="n">
        <v>45829</v>
      </c>
      <c r="B63" t="n">
        <v>4164</v>
      </c>
      <c r="C63" t="n">
        <v>9002</v>
      </c>
      <c r="D63" t="n">
        <v>13166</v>
      </c>
    </row>
    <row r="64">
      <c r="A64" s="4" t="n">
        <v>45830</v>
      </c>
      <c r="B64" t="n">
        <v>4158</v>
      </c>
      <c r="C64" t="n">
        <v>9226</v>
      </c>
      <c r="D64" t="n">
        <v>13384</v>
      </c>
    </row>
    <row r="65">
      <c r="A65" s="4" t="n">
        <v>45831</v>
      </c>
      <c r="B65" t="n">
        <v>4302</v>
      </c>
      <c r="C65" t="n">
        <v>9252.200000000001</v>
      </c>
      <c r="D65" t="n">
        <v>13554.2</v>
      </c>
    </row>
    <row r="66">
      <c r="A66" s="4" t="n">
        <v>45832</v>
      </c>
      <c r="B66" t="n">
        <v>4270.5</v>
      </c>
      <c r="C66" t="n">
        <v>8913.799999999999</v>
      </c>
      <c r="D66" t="n">
        <v>13184.3</v>
      </c>
    </row>
    <row r="67">
      <c r="A67" s="4" t="n">
        <v>45833</v>
      </c>
      <c r="B67" t="n">
        <v>4197</v>
      </c>
      <c r="C67" t="n">
        <v>8674</v>
      </c>
      <c r="D67" t="n">
        <v>12871</v>
      </c>
    </row>
    <row r="68">
      <c r="A68" s="4" t="n">
        <v>45834</v>
      </c>
      <c r="B68" t="n">
        <v>4099.5</v>
      </c>
      <c r="C68" t="n">
        <v>8805.200000000001</v>
      </c>
      <c r="D68" t="n">
        <v>12904.7</v>
      </c>
    </row>
    <row r="69">
      <c r="A69" s="4" t="n">
        <v>45835</v>
      </c>
      <c r="B69" t="n">
        <v>4015.5</v>
      </c>
      <c r="C69" t="n">
        <v>8764</v>
      </c>
      <c r="D69" t="n">
        <v>12779.5</v>
      </c>
    </row>
    <row r="70">
      <c r="A70" s="4" t="n">
        <v>45836</v>
      </c>
      <c r="B70" t="n">
        <v>3993</v>
      </c>
      <c r="C70" t="n">
        <v>8968</v>
      </c>
      <c r="D70" t="n">
        <v>12961</v>
      </c>
    </row>
    <row r="71">
      <c r="A71" s="4" t="n">
        <v>45837</v>
      </c>
      <c r="B71" t="n">
        <v>3900</v>
      </c>
      <c r="C71" t="n">
        <v>9021.4</v>
      </c>
      <c r="D71" t="n">
        <v>12921.4</v>
      </c>
    </row>
    <row r="72">
      <c r="A72" s="4" t="n">
        <v>45838</v>
      </c>
      <c r="B72" t="n">
        <v>4018.5</v>
      </c>
      <c r="C72" t="n">
        <v>8890.799999999999</v>
      </c>
      <c r="D72" t="n">
        <v>12909.3</v>
      </c>
    </row>
    <row r="73">
      <c r="A73" s="4" t="n">
        <v>45839</v>
      </c>
      <c r="B73" t="n">
        <v>3999</v>
      </c>
      <c r="C73" t="n">
        <v>9087.799999999999</v>
      </c>
      <c r="D73" t="n">
        <v>13086.8</v>
      </c>
    </row>
    <row r="74">
      <c r="A74" s="4" t="n">
        <v>45840</v>
      </c>
      <c r="B74" t="n">
        <v>4009.5</v>
      </c>
      <c r="C74" t="n">
        <v>8945.6</v>
      </c>
      <c r="D74" t="n">
        <v>12955.1</v>
      </c>
    </row>
    <row r="75">
      <c r="A75" s="4" t="n">
        <v>45841</v>
      </c>
      <c r="B75" t="n">
        <v>4126.5</v>
      </c>
      <c r="C75" t="n">
        <v>8582.799999999999</v>
      </c>
      <c r="D75" t="n">
        <v>12709.3</v>
      </c>
    </row>
    <row r="76">
      <c r="A76" s="4" t="n">
        <v>45842</v>
      </c>
      <c r="B76" t="n">
        <v>4252.5</v>
      </c>
      <c r="C76" t="n">
        <v>8941.200000000001</v>
      </c>
      <c r="D76" t="n">
        <v>13193.7</v>
      </c>
    </row>
    <row r="77">
      <c r="A77" s="4" t="n">
        <v>45843</v>
      </c>
      <c r="B77" t="n">
        <v>4236</v>
      </c>
      <c r="C77" t="n">
        <v>8604</v>
      </c>
      <c r="D77" t="n">
        <v>12840</v>
      </c>
    </row>
    <row r="78">
      <c r="A78" s="4" t="n">
        <v>45844</v>
      </c>
      <c r="B78" t="n">
        <v>4267.5</v>
      </c>
      <c r="C78" t="n">
        <v>8717.799999999999</v>
      </c>
      <c r="D78" t="n">
        <v>12985.3</v>
      </c>
    </row>
    <row r="79">
      <c r="A79" s="4" t="n">
        <v>45845</v>
      </c>
      <c r="B79" t="n">
        <v>4332</v>
      </c>
      <c r="C79" t="n">
        <v>8886</v>
      </c>
      <c r="D79" t="n">
        <v>13218</v>
      </c>
    </row>
    <row r="80">
      <c r="A80" s="4" t="n">
        <v>45846</v>
      </c>
      <c r="B80" t="n">
        <v>4317</v>
      </c>
      <c r="C80" t="n">
        <v>8916.6</v>
      </c>
      <c r="D80" t="n">
        <v>13233.6</v>
      </c>
    </row>
    <row r="81">
      <c r="A81" s="4" t="n">
        <v>45847</v>
      </c>
      <c r="B81" t="n">
        <v>4165.5</v>
      </c>
      <c r="C81" t="n">
        <v>8620.799999999999</v>
      </c>
      <c r="D81" t="n">
        <v>12786.3</v>
      </c>
    </row>
    <row r="82">
      <c r="A82" s="4" t="n">
        <v>45848</v>
      </c>
      <c r="B82" t="n">
        <v>4222.5</v>
      </c>
      <c r="C82" t="n">
        <v>8800</v>
      </c>
      <c r="D82" t="n">
        <v>13022.5</v>
      </c>
    </row>
    <row r="83">
      <c r="A83" s="4" t="n">
        <v>45849</v>
      </c>
      <c r="B83" t="n">
        <v>4300.5</v>
      </c>
      <c r="C83" t="n">
        <v>8550.799999999999</v>
      </c>
      <c r="D83" t="n">
        <v>12851.3</v>
      </c>
    </row>
    <row r="84">
      <c r="A84" s="4" t="n">
        <v>45850</v>
      </c>
      <c r="B84" t="n">
        <v>4338</v>
      </c>
      <c r="C84" t="n">
        <v>8325.200000000001</v>
      </c>
      <c r="D84" t="n">
        <v>12663.2</v>
      </c>
    </row>
    <row r="85">
      <c r="A85" s="4" t="n">
        <v>45851</v>
      </c>
      <c r="B85" t="n">
        <v>4260</v>
      </c>
      <c r="C85" t="n">
        <v>8269.200000000001</v>
      </c>
      <c r="D85" t="n">
        <v>12529.2</v>
      </c>
    </row>
    <row r="86">
      <c r="A86" s="4" t="n">
        <v>45852</v>
      </c>
      <c r="B86" t="n">
        <v>4245</v>
      </c>
      <c r="C86" t="n">
        <v>8403.799999999999</v>
      </c>
      <c r="D86" t="n">
        <v>12648.8</v>
      </c>
    </row>
    <row r="87">
      <c r="A87" s="4" t="n">
        <v>45853</v>
      </c>
      <c r="B87" t="n">
        <v>4197</v>
      </c>
      <c r="C87" t="n">
        <v>8458.4</v>
      </c>
      <c r="D87" t="n">
        <v>12655.4</v>
      </c>
    </row>
    <row r="88">
      <c r="A88" s="4" t="n">
        <v>45854</v>
      </c>
      <c r="B88" t="n">
        <v>4174.5</v>
      </c>
      <c r="C88" t="n">
        <v>8599.799999999999</v>
      </c>
      <c r="D88" t="n">
        <v>12774.3</v>
      </c>
    </row>
    <row r="89">
      <c r="A89" s="4" t="n">
        <v>45855</v>
      </c>
      <c r="B89" t="n">
        <v>4285.5</v>
      </c>
      <c r="C89" t="n">
        <v>8527.799999999999</v>
      </c>
      <c r="D89" t="n">
        <v>12813.3</v>
      </c>
    </row>
    <row r="90">
      <c r="A90" s="4" t="n">
        <v>45856</v>
      </c>
      <c r="B90" t="n">
        <v>4417.5</v>
      </c>
      <c r="C90" t="n">
        <v>8502.6</v>
      </c>
      <c r="D90" t="n">
        <v>12920.1</v>
      </c>
    </row>
    <row r="91">
      <c r="A91" s="4" t="n">
        <v>45857</v>
      </c>
      <c r="B91" t="n">
        <v>4479</v>
      </c>
      <c r="C91" t="n">
        <v>8313.6</v>
      </c>
      <c r="D91" t="n">
        <v>12792.6</v>
      </c>
    </row>
    <row r="92">
      <c r="A92" s="4" t="n">
        <v>45858</v>
      </c>
      <c r="B92" t="n">
        <v>4531.5</v>
      </c>
      <c r="C92" t="n">
        <v>8265</v>
      </c>
      <c r="D92" t="n">
        <v>12796.5</v>
      </c>
    </row>
    <row r="93">
      <c r="A93" s="4" t="n">
        <v>45859</v>
      </c>
      <c r="B93" t="n">
        <v>4594.5</v>
      </c>
      <c r="C93" t="n">
        <v>8367.200000000001</v>
      </c>
      <c r="D93" t="n">
        <v>12961.7</v>
      </c>
    </row>
    <row r="94">
      <c r="A94" s="4" t="n">
        <v>45860</v>
      </c>
      <c r="B94" t="n">
        <v>4596</v>
      </c>
      <c r="C94" t="n">
        <v>8321.200000000001</v>
      </c>
      <c r="D94" t="n">
        <v>12917.2</v>
      </c>
    </row>
    <row r="95">
      <c r="A95" s="4" t="n">
        <v>45861</v>
      </c>
      <c r="B95" t="n">
        <v>4591.5</v>
      </c>
      <c r="C95" t="n">
        <v>8404.6</v>
      </c>
      <c r="D95" t="n">
        <v>12996.1</v>
      </c>
    </row>
    <row r="96">
      <c r="A96" s="4" t="n">
        <v>45862</v>
      </c>
      <c r="B96" t="n">
        <v>4531.5</v>
      </c>
      <c r="C96" t="n">
        <v>8312.4</v>
      </c>
      <c r="D96" t="n">
        <v>12843.9</v>
      </c>
    </row>
    <row r="97">
      <c r="A97" s="4" t="n">
        <v>45863</v>
      </c>
      <c r="B97" t="n">
        <v>4528.5</v>
      </c>
      <c r="C97" t="n">
        <v>8218</v>
      </c>
      <c r="D97" t="n">
        <v>12746.5</v>
      </c>
    </row>
    <row r="98">
      <c r="A98" s="4" t="n">
        <v>45864</v>
      </c>
      <c r="B98" t="n">
        <v>4735.5</v>
      </c>
      <c r="C98" t="n">
        <v>8228.6</v>
      </c>
      <c r="D98" t="n">
        <v>12964.1</v>
      </c>
    </row>
    <row r="99">
      <c r="A99" s="4" t="n">
        <v>45865</v>
      </c>
      <c r="B99" t="n">
        <v>4819.5</v>
      </c>
      <c r="C99" t="n">
        <v>8200.6</v>
      </c>
      <c r="D99" t="n">
        <v>13020.1</v>
      </c>
    </row>
    <row r="100">
      <c r="A100" s="4" t="n">
        <v>45866</v>
      </c>
      <c r="B100" t="n">
        <v>4789.5</v>
      </c>
      <c r="C100" t="n">
        <v>8301.799999999999</v>
      </c>
      <c r="D100" t="n">
        <v>13091.3</v>
      </c>
    </row>
    <row r="101">
      <c r="A101" s="4" t="n">
        <v>45867</v>
      </c>
      <c r="B101" t="n">
        <v>4746</v>
      </c>
      <c r="C101" t="n">
        <v>8335.6</v>
      </c>
      <c r="D101" t="n">
        <v>13081.6</v>
      </c>
    </row>
    <row r="102">
      <c r="A102" s="4" t="n">
        <v>45868</v>
      </c>
      <c r="B102" t="n">
        <v>4666.5</v>
      </c>
      <c r="C102" t="n">
        <v>8630</v>
      </c>
      <c r="D102" t="n">
        <v>13296.5</v>
      </c>
    </row>
    <row r="103">
      <c r="A103" s="4" t="n">
        <v>45869</v>
      </c>
      <c r="B103" t="n">
        <v>4704</v>
      </c>
      <c r="C103" t="n">
        <v>8596.4</v>
      </c>
      <c r="D103" t="n">
        <v>13300.4</v>
      </c>
    </row>
    <row r="104">
      <c r="A104" s="4" t="n">
        <v>45870</v>
      </c>
      <c r="B104" t="n">
        <v>4743</v>
      </c>
      <c r="C104" t="n">
        <v>8561.6</v>
      </c>
      <c r="D104" t="n">
        <v>13304.6</v>
      </c>
    </row>
    <row r="105">
      <c r="A105" s="4" t="n">
        <v>45871</v>
      </c>
      <c r="B105" t="n">
        <v>4609.5</v>
      </c>
      <c r="C105" t="n">
        <v>8387.799999999999</v>
      </c>
      <c r="D105" t="n">
        <v>12997.3</v>
      </c>
    </row>
    <row r="106">
      <c r="A106" s="4" t="n">
        <v>45872</v>
      </c>
      <c r="B106" t="n">
        <v>4656</v>
      </c>
      <c r="C106" t="n">
        <v>8395.799999999999</v>
      </c>
      <c r="D106" t="n">
        <v>13051.8</v>
      </c>
    </row>
    <row r="107">
      <c r="A107" s="4" t="n">
        <v>45873</v>
      </c>
      <c r="B107" t="n">
        <v>4605</v>
      </c>
      <c r="C107" t="n">
        <v>8514.6</v>
      </c>
      <c r="D107" t="n">
        <v>13119.6</v>
      </c>
    </row>
    <row r="108">
      <c r="A108" s="4" t="n">
        <v>45874</v>
      </c>
      <c r="B108" t="n">
        <v>4738.5</v>
      </c>
      <c r="C108" t="n">
        <v>8392.799999999999</v>
      </c>
      <c r="D108" t="n">
        <v>13131.3</v>
      </c>
    </row>
    <row r="109">
      <c r="A109" s="4" t="n">
        <v>45875</v>
      </c>
      <c r="B109" t="n">
        <v>4756.5</v>
      </c>
      <c r="C109" t="n">
        <v>8388.6</v>
      </c>
      <c r="D109" t="n">
        <v>13145.1</v>
      </c>
    </row>
    <row r="110">
      <c r="A110" s="4" t="n">
        <v>45876</v>
      </c>
      <c r="B110" t="n">
        <v>4921.5</v>
      </c>
      <c r="C110" t="n">
        <v>8513.4</v>
      </c>
      <c r="D110" t="n">
        <v>13434.9</v>
      </c>
    </row>
    <row r="111">
      <c r="A111" s="4" t="n">
        <v>45877</v>
      </c>
      <c r="B111" t="n">
        <v>4879.5</v>
      </c>
      <c r="C111" t="n">
        <v>8496</v>
      </c>
      <c r="D111" t="n">
        <v>13375.5</v>
      </c>
    </row>
    <row r="112">
      <c r="A112" s="4" t="n">
        <v>45878</v>
      </c>
      <c r="B112" t="n">
        <v>4854</v>
      </c>
      <c r="C112" t="n">
        <v>8412.200000000001</v>
      </c>
      <c r="D112" t="n">
        <v>13266.2</v>
      </c>
    </row>
    <row r="113">
      <c r="A113" s="4" t="n">
        <v>45879</v>
      </c>
      <c r="B113" t="n">
        <v>4885.5</v>
      </c>
      <c r="C113" t="n">
        <v>8580</v>
      </c>
      <c r="D113" t="n">
        <v>13465.5</v>
      </c>
    </row>
    <row r="114">
      <c r="A114" s="4" t="n">
        <v>45880</v>
      </c>
      <c r="B114" t="n">
        <v>4990.5</v>
      </c>
      <c r="C114" t="n">
        <v>8601</v>
      </c>
      <c r="D114" t="n">
        <v>13591.5</v>
      </c>
    </row>
    <row r="115">
      <c r="A115" s="4" t="n">
        <v>45881</v>
      </c>
      <c r="B115" t="n">
        <v>5050.5</v>
      </c>
      <c r="C115" t="n">
        <v>8673.4</v>
      </c>
      <c r="D115" t="n">
        <v>13723.9</v>
      </c>
    </row>
    <row r="116">
      <c r="A116" s="4" t="n">
        <v>45882</v>
      </c>
      <c r="B116" t="n">
        <v>4927.5</v>
      </c>
      <c r="C116" t="n">
        <v>8881</v>
      </c>
      <c r="D116" t="n">
        <v>13808.5</v>
      </c>
    </row>
    <row r="117">
      <c r="A117" s="4" t="n">
        <v>45883</v>
      </c>
      <c r="B117" t="n">
        <v>4948.5</v>
      </c>
      <c r="C117" t="n">
        <v>9088.799999999999</v>
      </c>
      <c r="D117" t="n">
        <v>14037.3</v>
      </c>
    </row>
    <row r="118">
      <c r="A118" s="4" t="n">
        <v>45884</v>
      </c>
      <c r="B118" t="n">
        <v>4953</v>
      </c>
      <c r="C118" t="n">
        <v>9030.4</v>
      </c>
      <c r="D118" t="n">
        <v>13983.4</v>
      </c>
    </row>
    <row r="119">
      <c r="A119" s="4" t="n">
        <v>45885</v>
      </c>
      <c r="B119" t="n">
        <v>4912.5</v>
      </c>
      <c r="C119" t="n">
        <v>8940</v>
      </c>
      <c r="D119" t="n">
        <v>13852.5</v>
      </c>
    </row>
    <row r="120">
      <c r="A120" s="4" t="n">
        <v>45886</v>
      </c>
      <c r="B120" t="n">
        <v>4852.5</v>
      </c>
      <c r="C120" t="n">
        <v>8995.200000000001</v>
      </c>
      <c r="D120" t="n">
        <v>13847.7</v>
      </c>
    </row>
    <row r="121">
      <c r="A121" s="4" t="n">
        <v>45887</v>
      </c>
      <c r="B121" t="n">
        <v>5023.5</v>
      </c>
      <c r="C121" t="n">
        <v>8975.799999999999</v>
      </c>
      <c r="D121" t="n">
        <v>13999.3</v>
      </c>
    </row>
    <row r="122">
      <c r="A122" s="4" t="n">
        <v>45888</v>
      </c>
      <c r="B122" t="n">
        <v>4987.5</v>
      </c>
      <c r="C122" t="n">
        <v>8639.200000000001</v>
      </c>
      <c r="D122" t="n">
        <v>13626.7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8" customWidth="1" min="4" max="4"/>
    <col width="16" customWidth="1" min="5" max="5"/>
  </cols>
  <sheetData>
    <row r="1">
      <c r="A1" s="3" t="inlineStr">
        <is>
          <t>Symbol</t>
        </is>
      </c>
      <c r="B1" s="3" t="inlineStr">
        <is>
          <t>LastPrice</t>
        </is>
      </c>
      <c r="C1" s="3" t="inlineStr">
        <is>
          <t>Return_120D_%</t>
        </is>
      </c>
      <c r="D1" s="3" t="inlineStr">
        <is>
          <t>Volatility_Ann_%</t>
        </is>
      </c>
      <c r="E1" s="3" t="inlineStr">
        <is>
          <t>Max_Drawdown_%</t>
        </is>
      </c>
    </row>
    <row r="2">
      <c r="A2" t="inlineStr">
        <is>
          <t>FNGU</t>
        </is>
      </c>
      <c r="B2" t="n">
        <v>33.25</v>
      </c>
      <c r="C2" t="n">
        <v>7.15</v>
      </c>
      <c r="D2" t="n">
        <v>31.42</v>
      </c>
      <c r="E2" t="n">
        <v>-16.32</v>
      </c>
    </row>
    <row r="3">
      <c r="A3" t="inlineStr">
        <is>
          <t>SPY</t>
        </is>
      </c>
      <c r="B3" t="n">
        <v>431.96</v>
      </c>
      <c r="C3" t="n">
        <v>-15.54</v>
      </c>
      <c r="D3" t="n">
        <v>29.34</v>
      </c>
      <c r="E3" t="n">
        <v>-26.18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8" customWidth="1" min="3" max="3"/>
    <col width="20" customWidth="1" min="4" max="4"/>
  </cols>
  <sheetData>
    <row r="1">
      <c r="A1" s="3" t="inlineStr">
        <is>
          <t>YearMonth</t>
        </is>
      </c>
      <c r="B1" s="3" t="inlineStr">
        <is>
          <t>Expense</t>
        </is>
      </c>
      <c r="C1" s="3" t="inlineStr">
        <is>
          <t>Income</t>
        </is>
      </c>
      <c r="D1" s="3" t="inlineStr">
        <is>
          <t>Net</t>
        </is>
      </c>
    </row>
    <row r="2">
      <c r="A2" t="inlineStr">
        <is>
          <t>2025-05</t>
        </is>
      </c>
      <c r="B2" t="n">
        <v>-1800</v>
      </c>
      <c r="C2" t="n">
        <v>6000</v>
      </c>
      <c r="D2" t="n">
        <v>4200</v>
      </c>
    </row>
    <row r="3">
      <c r="A3" t="inlineStr">
        <is>
          <t>2025-06</t>
        </is>
      </c>
      <c r="B3" t="n">
        <v>-2010.45</v>
      </c>
      <c r="C3" t="n">
        <v>6000</v>
      </c>
      <c r="D3" t="n">
        <v>3989.55</v>
      </c>
    </row>
    <row r="4">
      <c r="A4" t="inlineStr">
        <is>
          <t>2025-07</t>
        </is>
      </c>
      <c r="B4" t="n">
        <v>-15560.72</v>
      </c>
      <c r="C4" t="n">
        <v>6000</v>
      </c>
      <c r="D4" t="n">
        <v>-9560.720000000001</v>
      </c>
    </row>
    <row r="5">
      <c r="A5" t="inlineStr">
        <is>
          <t>2025-08</t>
        </is>
      </c>
      <c r="B5" t="n">
        <v>-215.19</v>
      </c>
      <c r="C5" t="n">
        <v>450</v>
      </c>
      <c r="D5" t="n">
        <v>234.81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Portfolio Value</t>
        </is>
      </c>
      <c r="B2" s="5">
        <f>SUM(Holdings!F2:F3)</f>
        <v/>
      </c>
    </row>
    <row r="3">
      <c r="A3" t="inlineStr">
        <is>
          <t>Total Cost Basis</t>
        </is>
      </c>
      <c r="B3" s="5">
        <f>SUM(Holdings!D2:D3)</f>
        <v/>
      </c>
    </row>
    <row r="4">
      <c r="A4" t="inlineStr">
        <is>
          <t>Total Unrealized Gain</t>
        </is>
      </c>
      <c r="B4" s="5">
        <f>SUM(Holdings!G2:G3)</f>
        <v/>
      </c>
    </row>
    <row r="5">
      <c r="A5" t="inlineStr">
        <is>
          <t>Monthly Income (last full month)</t>
        </is>
      </c>
      <c r="B5" s="5">
        <f>SUMIF(Cashflow!A:A,B13,Cashflow!B:B)</f>
        <v/>
      </c>
    </row>
    <row r="6">
      <c r="A6" t="inlineStr">
        <is>
          <t>Monthly Expenses (last full month)</t>
        </is>
      </c>
      <c r="B6" s="5">
        <f>SUMIF(Cashflow!A:A,B13,Cashflow!C:C)</f>
        <v/>
      </c>
    </row>
    <row r="7">
      <c r="A7" t="inlineStr">
        <is>
          <t>Net Cashflow (last full month)</t>
        </is>
      </c>
      <c r="B7" s="5">
        <f>SUMIF(Cashflow!A:A,B13,Cashflow!D:D)</f>
        <v/>
      </c>
    </row>
    <row r="8">
      <c r="A8" t="inlineStr">
        <is>
          <t>Monthly Expense Baseline (Settings)</t>
        </is>
      </c>
      <c r="B8" s="6">
        <f>Settings!B2</f>
        <v/>
      </c>
    </row>
    <row r="9">
      <c r="A9" t="inlineStr">
        <is>
          <t>Safe Withdrawal Rate % (Settings)</t>
        </is>
      </c>
      <c r="B9" s="5">
        <f>Settings!B3</f>
        <v/>
      </c>
    </row>
    <row r="10">
      <c r="A10" t="inlineStr">
        <is>
          <t>Target Retirement Income Monthly</t>
        </is>
      </c>
      <c r="B10" s="5">
        <f>Settings!B4</f>
        <v/>
      </c>
    </row>
    <row r="11">
      <c r="A11" t="inlineStr">
        <is>
          <t>Required Nest Egg (Baseline/SWR)</t>
        </is>
      </c>
      <c r="B11" s="6">
        <f>(Settings!B2*12)/(Settings!B3/100)</f>
        <v/>
      </c>
    </row>
    <row r="12">
      <c r="A12" t="inlineStr">
        <is>
          <t>Funded Ratio (Portfolio / Required)</t>
        </is>
      </c>
      <c r="B12">
        <f>B2/B10</f>
        <v/>
      </c>
    </row>
    <row r="13">
      <c r="A13" s="3" t="inlineStr">
        <is>
          <t>Last Full Month (YYYY-MM)</t>
        </is>
      </c>
      <c r="B13">
        <f>TEXT(EDATE(TODAY(),-1),yyyy-mm)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IntelIntent Investment Dashboard</t>
        </is>
      </c>
    </row>
    <row r="3">
      <c r="A3" s="8" t="inlineStr">
        <is>
          <t>Total Portfolio Value</t>
        </is>
      </c>
      <c r="B3" s="9">
        <f>Summary!B2</f>
        <v/>
      </c>
    </row>
    <row r="4">
      <c r="A4" s="8" t="inlineStr">
        <is>
          <t>Unrealized Gain</t>
        </is>
      </c>
      <c r="B4" s="9">
        <f>Summary!B4</f>
        <v/>
      </c>
    </row>
    <row r="5">
      <c r="A5" s="8" t="inlineStr">
        <is>
          <t>Funded Ratio</t>
        </is>
      </c>
      <c r="B5" s="10">
        <f>Summary!B11</f>
        <v/>
      </c>
    </row>
    <row r="8">
      <c r="A8" s="3" t="inlineStr">
        <is>
          <t>Symbol</t>
        </is>
      </c>
      <c r="B8" s="3" t="inlineStr">
        <is>
          <t>MarketValue</t>
        </is>
      </c>
    </row>
    <row r="9">
      <c r="A9">
        <f>Holdings!B2</f>
        <v/>
      </c>
      <c r="B9">
        <f>Holdings!F2</f>
        <v/>
      </c>
    </row>
    <row r="10">
      <c r="A10">
        <f>Holdings!B3</f>
        <v/>
      </c>
      <c r="B10">
        <f>Holdings!F3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2025-08-19T00:22:20Z</dcterms:created>
  <dcterms:modified xmlns:dcterms="http://purl.org/dc/terms/" xmlns:xsi="http://www.w3.org/2001/XMLSchema-instance" xsi:type="dcterms:W3CDTF">2025-08-19T00:22:20Z</dcterms:modified>
</cp:coreProperties>
</file>