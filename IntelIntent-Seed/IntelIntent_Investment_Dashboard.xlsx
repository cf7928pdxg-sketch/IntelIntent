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Accounts" sheetId="3" state="visible" r:id="rId3"/>
    <sheet xmlns:r="http://schemas.openxmlformats.org/officeDocument/2006/relationships" name="Categorie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Holdings" sheetId="6" state="visible" r:id="rId6"/>
    <sheet xmlns:r="http://schemas.openxmlformats.org/officeDocument/2006/relationships" name="Prices" sheetId="7" state="visible" r:id="rId7"/>
    <sheet xmlns:r="http://schemas.openxmlformats.org/officeDocument/2006/relationships" name="Portfolio_History" sheetId="8" state="visible" r:id="rId8"/>
    <sheet xmlns:r="http://schemas.openxmlformats.org/officeDocument/2006/relationships" name="Cashflow" sheetId="9" state="visible" r:id="rId9"/>
    <sheet xmlns:r="http://schemas.openxmlformats.org/officeDocument/2006/relationships" name="Summary" sheetId="10" state="visible" r:id="rId10"/>
    <sheet xmlns:r="http://schemas.openxmlformats.org/officeDocument/2006/relationships" name="Dashboar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Allocation by Symbol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explosion val="10"/>
            <spPr>
              <a:ln xmlns:a="http://schemas.openxmlformats.org/drawingml/2006/main">
                <a:prstDash val="solid"/>
              </a:ln>
            </spPr>
          </dPt>
          <cat>
            <numRef>
              <f>'Dashboard'!$A$4:$A$5</f>
            </numRef>
          </cat>
          <val>
            <numRef>
              <f>'Dashboard'!$B$4:$B$5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Value — Last 60 Days</a:t>
            </a:r>
          </a:p>
        </rich>
      </tx>
    </title>
    <plotArea>
      <lineChart>
        <grouping val="standard"/>
        <ser>
          <idx val="0"/>
          <order val="0"/>
          <tx>
            <strRef>
              <f>'Portfolio_History'!B1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'Portfolio_History'!$A$2:$A$62</f>
            </numRef>
          </cat>
          <val>
            <numRef>
              <f>'Portfolio_History'!$B$2:$B$62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Cashflow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'Cashflow'!B1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'Cashflow'!$A$2:$A$3</f>
            </numRef>
          </cat>
          <val>
            <numRef>
              <f>'Cashflow'!$B$2:$B$3</f>
            </numRef>
          </val>
        </ser>
        <ser>
          <idx val="1"/>
          <order val="1"/>
          <tx>
            <strRef>
              <f>'Cashflow'!C1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'Cashflow'!$A$2:$A$3</f>
            </numRef>
          </cat>
          <val>
            <numRef>
              <f>'Cashflow'!$C$2:$C$3</f>
            </numRef>
          </val>
        </ser>
        <ser>
          <idx val="2"/>
          <order val="2"/>
          <tx>
            <strRef>
              <f>'Cashflow'!D1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'Cashflow'!$A$2:$A$3</f>
            </numRef>
          </cat>
          <val>
            <numRef>
              <f>'Cashflow'!$D$2:$D$3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Year-Month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IntelIntent Investment Dashboard — Quick Start</t>
        </is>
      </c>
    </row>
    <row r="2">
      <c r="A2" t="inlineStr"/>
    </row>
    <row r="3">
      <c r="A3" t="inlineStr">
        <is>
          <t>How to use:</t>
        </is>
      </c>
    </row>
    <row r="4">
      <c r="A4" t="inlineStr">
        <is>
          <t>1) Enter/append your real transactions in the Transactions sheet.</t>
        </is>
      </c>
    </row>
    <row r="5">
      <c r="A5" t="inlineStr">
        <is>
          <t>2) Update Holdings with your actual symbols, quantities, and cost basis.</t>
        </is>
      </c>
    </row>
    <row r="6">
      <c r="A6" t="inlineStr">
        <is>
          <t>3) Paste price history in Prices (Date, Symbol, Close) — one row per date &amp; symbol.</t>
        </is>
      </c>
    </row>
    <row r="7">
      <c r="A7" t="inlineStr">
        <is>
          <t xml:space="preserve">   (For quick use, keep the sample data; the Dashboard will update automatically.)</t>
        </is>
      </c>
    </row>
    <row r="8">
      <c r="A8" t="inlineStr">
        <is>
          <t>4) Adjust Settings to your situation (monthly expenses, safe withdrawal rate).</t>
        </is>
      </c>
    </row>
    <row r="9">
      <c r="A9" t="inlineStr">
        <is>
          <t>5) View Dashboard for allocation, trend, cashflow, and retirement readiness.</t>
        </is>
      </c>
    </row>
    <row r="10">
      <c r="A10" t="inlineStr"/>
    </row>
    <row r="11">
      <c r="A11" t="inlineStr">
        <is>
          <t>Notes:</t>
        </is>
      </c>
    </row>
    <row r="12">
      <c r="A12" t="inlineStr">
        <is>
          <t>- Latest prices are pulled per symbol using a LOOKUP to the last available row.</t>
        </is>
      </c>
    </row>
    <row r="13">
      <c r="A13" t="inlineStr">
        <is>
          <t>- Portfolio History uses sample data for a 60-day trend. Replace with your data as needed.</t>
        </is>
      </c>
    </row>
    <row r="14">
      <c r="A14" t="inlineStr">
        <is>
          <t>- This workbook is Power BI–ready: you can connect Power BI to the Transactions, Holdings, and Prices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</cols>
  <sheetData>
    <row r="1">
      <c r="A1" s="2" t="inlineStr">
        <is>
          <t>Setting</t>
        </is>
      </c>
      <c r="B1" s="2" t="inlineStr">
        <is>
          <t>Value</t>
        </is>
      </c>
    </row>
    <row r="2">
      <c r="A2" t="inlineStr">
        <is>
          <t>Monthly_Expense_Baseline</t>
        </is>
      </c>
      <c r="B2" t="n">
        <v>4500</v>
      </c>
    </row>
    <row r="3">
      <c r="A3" t="inlineStr">
        <is>
          <t>Safe_Withdrawal_Rate_%</t>
        </is>
      </c>
      <c r="B3" t="n">
        <v>4</v>
      </c>
    </row>
    <row r="4">
      <c r="A4" t="inlineStr">
        <is>
          <t>Target_Retirement_Income_Monthly</t>
        </is>
      </c>
      <c r="B4" t="n">
        <v>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2" t="inlineStr">
        <is>
          <t>Account</t>
        </is>
      </c>
    </row>
    <row r="2">
      <c r="A2" t="inlineStr">
        <is>
          <t>Checking</t>
        </is>
      </c>
    </row>
    <row r="3">
      <c r="A3" t="inlineStr">
        <is>
          <t>Brokerage</t>
        </is>
      </c>
    </row>
    <row r="4">
      <c r="A4" t="inlineStr">
        <is>
          <t>IRA</t>
        </is>
      </c>
    </row>
    <row r="5">
      <c r="A5" t="inlineStr">
        <is>
          <t>Savings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</cols>
  <sheetData>
    <row r="1">
      <c r="A1" s="2" t="inlineStr">
        <is>
          <t>Type</t>
        </is>
      </c>
      <c r="B1" s="2" t="inlineStr">
        <is>
          <t>Category</t>
        </is>
      </c>
    </row>
    <row r="2">
      <c r="A2" t="inlineStr">
        <is>
          <t>Income</t>
        </is>
      </c>
      <c r="B2" t="inlineStr">
        <is>
          <t>Salary</t>
        </is>
      </c>
    </row>
    <row r="3">
      <c r="A3" t="inlineStr">
        <is>
          <t>Income</t>
        </is>
      </c>
      <c r="B3" t="inlineStr">
        <is>
          <t>Other</t>
        </is>
      </c>
    </row>
    <row r="4">
      <c r="A4" t="inlineStr">
        <is>
          <t>Expense</t>
        </is>
      </c>
      <c r="B4" t="inlineStr">
        <is>
          <t>Housing</t>
        </is>
      </c>
    </row>
    <row r="5">
      <c r="A5" t="inlineStr">
        <is>
          <t>Expense</t>
        </is>
      </c>
      <c r="B5" t="inlineStr">
        <is>
          <t>Utilities</t>
        </is>
      </c>
    </row>
    <row r="6">
      <c r="A6" t="inlineStr">
        <is>
          <t>Expense</t>
        </is>
      </c>
      <c r="B6" t="inlineStr">
        <is>
          <t>Food</t>
        </is>
      </c>
    </row>
    <row r="7">
      <c r="A7" t="inlineStr">
        <is>
          <t>Expense</t>
        </is>
      </c>
      <c r="B7" t="inlineStr">
        <is>
          <t>Transportation</t>
        </is>
      </c>
    </row>
    <row r="8">
      <c r="A8" t="inlineStr">
        <is>
          <t>Expense</t>
        </is>
      </c>
      <c r="B8" t="inlineStr">
        <is>
          <t>Healthcare</t>
        </is>
      </c>
    </row>
    <row r="9">
      <c r="A9" t="inlineStr">
        <is>
          <t>Expense</t>
        </is>
      </c>
      <c r="B9" t="inlineStr">
        <is>
          <t>Investment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12" customWidth="1" min="4" max="4"/>
    <col width="13" customWidth="1" min="5" max="5"/>
    <col width="18" customWidth="1" min="6" max="6"/>
    <col width="10" customWidth="1" min="7" max="7"/>
  </cols>
  <sheetData>
    <row r="1">
      <c r="A1" s="2" t="inlineStr">
        <is>
          <t>Date</t>
        </is>
      </c>
      <c r="B1" s="2" t="inlineStr">
        <is>
          <t>Account</t>
        </is>
      </c>
      <c r="C1" s="2" t="inlineStr">
        <is>
          <t>Type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Description</t>
        </is>
      </c>
      <c r="G1" s="2" t="inlineStr">
        <is>
          <t>Amount</t>
        </is>
      </c>
    </row>
    <row r="2">
      <c r="A2" s="3" t="n">
        <v>45848</v>
      </c>
      <c r="B2" t="inlineStr">
        <is>
          <t>Checking</t>
        </is>
      </c>
      <c r="C2" t="inlineStr">
        <is>
          <t>Income</t>
        </is>
      </c>
      <c r="D2" t="inlineStr">
        <is>
          <t>Salary</t>
        </is>
      </c>
      <c r="E2" t="inlineStr">
        <is>
          <t>Paycheck</t>
        </is>
      </c>
      <c r="F2" t="inlineStr">
        <is>
          <t>Monthly paycheck</t>
        </is>
      </c>
      <c r="G2" t="n">
        <v>6000</v>
      </c>
    </row>
    <row r="3">
      <c r="A3" s="3" t="n">
        <v>45853</v>
      </c>
      <c r="B3" t="inlineStr">
        <is>
          <t>Checking</t>
        </is>
      </c>
      <c r="C3" t="inlineStr">
        <is>
          <t>Expense</t>
        </is>
      </c>
      <c r="D3" t="inlineStr">
        <is>
          <t>Housing</t>
        </is>
      </c>
      <c r="E3" t="inlineStr">
        <is>
          <t>Rent</t>
        </is>
      </c>
      <c r="F3" t="inlineStr">
        <is>
          <t>June rent</t>
        </is>
      </c>
      <c r="G3" t="n">
        <v>-1800</v>
      </c>
    </row>
    <row r="4">
      <c r="A4" s="3" t="n">
        <v>45855</v>
      </c>
      <c r="B4" t="inlineStr">
        <is>
          <t>Checking</t>
        </is>
      </c>
      <c r="C4" t="inlineStr">
        <is>
          <t>Expense</t>
        </is>
      </c>
      <c r="D4" t="inlineStr">
        <is>
          <t>Utilities</t>
        </is>
      </c>
      <c r="E4" t="inlineStr">
        <is>
          <t>Electric</t>
        </is>
      </c>
      <c r="F4" t="inlineStr">
        <is>
          <t>TXU bill</t>
        </is>
      </c>
      <c r="G4" t="n">
        <v>-210.45</v>
      </c>
    </row>
    <row r="5">
      <c r="A5" s="3" t="n">
        <v>45863</v>
      </c>
      <c r="B5" t="inlineStr">
        <is>
          <t>Brokerage</t>
        </is>
      </c>
      <c r="C5" t="inlineStr">
        <is>
          <t>Expense</t>
        </is>
      </c>
      <c r="D5" t="inlineStr">
        <is>
          <t>Investment</t>
        </is>
      </c>
      <c r="E5" t="inlineStr">
        <is>
          <t>Buy</t>
        </is>
      </c>
      <c r="F5" t="inlineStr">
        <is>
          <t>Buy FNGU</t>
        </is>
      </c>
      <c r="G5" t="n">
        <v>-3375</v>
      </c>
    </row>
    <row r="6">
      <c r="A6" s="3" t="n">
        <v>45864</v>
      </c>
      <c r="B6" t="inlineStr">
        <is>
          <t>Brokerage</t>
        </is>
      </c>
      <c r="C6" t="inlineStr">
        <is>
          <t>Expense</t>
        </is>
      </c>
      <c r="D6" t="inlineStr">
        <is>
          <t>Investment</t>
        </is>
      </c>
      <c r="E6" t="inlineStr">
        <is>
          <t>Buy</t>
        </is>
      </c>
      <c r="F6" t="inlineStr">
        <is>
          <t>Buy SPY</t>
        </is>
      </c>
      <c r="G6" t="n">
        <v>-10100</v>
      </c>
    </row>
    <row r="7">
      <c r="A7" s="3" t="n">
        <v>45878</v>
      </c>
      <c r="B7" t="inlineStr">
        <is>
          <t>Checking</t>
        </is>
      </c>
      <c r="C7" t="inlineStr">
        <is>
          <t>Expense</t>
        </is>
      </c>
      <c r="D7" t="inlineStr">
        <is>
          <t>Food</t>
        </is>
      </c>
      <c r="E7" t="inlineStr">
        <is>
          <t>Groceries</t>
        </is>
      </c>
      <c r="F7" t="inlineStr">
        <is>
          <t>Groceries</t>
        </is>
      </c>
      <c r="G7" t="n">
        <v>-285.72</v>
      </c>
    </row>
    <row r="8">
      <c r="A8" s="3" t="n">
        <v>45883</v>
      </c>
      <c r="B8" t="inlineStr">
        <is>
          <t>Checking</t>
        </is>
      </c>
      <c r="C8" t="inlineStr">
        <is>
          <t>Income</t>
        </is>
      </c>
      <c r="D8" t="inlineStr">
        <is>
          <t>Other</t>
        </is>
      </c>
      <c r="E8" t="inlineStr">
        <is>
          <t>Refund</t>
        </is>
      </c>
      <c r="F8" t="inlineStr">
        <is>
          <t>Tax refund</t>
        </is>
      </c>
      <c r="G8" t="n">
        <v>450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1" customWidth="1" min="4" max="4"/>
    <col width="40" customWidth="1" min="5" max="5"/>
    <col width="13" customWidth="1" min="6" max="6"/>
    <col width="16" customWidth="1" min="7" max="7"/>
  </cols>
  <sheetData>
    <row r="1">
      <c r="A1" s="2" t="inlineStr">
        <is>
          <t>Account</t>
        </is>
      </c>
      <c r="B1" s="2" t="inlineStr">
        <is>
          <t>Symbol</t>
        </is>
      </c>
      <c r="C1" s="2" t="inlineStr">
        <is>
          <t>Quantity</t>
        </is>
      </c>
      <c r="D1" s="2" t="inlineStr">
        <is>
          <t>CostBasis</t>
        </is>
      </c>
      <c r="E1" s="2" t="inlineStr">
        <is>
          <t>LatestPrice</t>
        </is>
      </c>
      <c r="F1" s="2" t="inlineStr">
        <is>
          <t>MarketValue</t>
        </is>
      </c>
      <c r="G1" s="2" t="inlineStr">
        <is>
          <t>UnrealizedGain</t>
        </is>
      </c>
    </row>
    <row r="2">
      <c r="A2" t="inlineStr">
        <is>
          <t>Brokerage</t>
        </is>
      </c>
      <c r="B2" t="inlineStr">
        <is>
          <t>FNGU</t>
        </is>
      </c>
      <c r="C2" t="n">
        <v>150</v>
      </c>
      <c r="D2" t="n">
        <v>3750</v>
      </c>
      <c r="E2">
        <f>LOOKUP(2,1/(Prices!$B:$B=Holdings!B2),Prices!$C:$C)</f>
        <v/>
      </c>
      <c r="F2">
        <f>C2*E2</f>
        <v/>
      </c>
      <c r="G2">
        <f>F2-D2</f>
        <v/>
      </c>
    </row>
    <row r="3">
      <c r="A3" t="inlineStr">
        <is>
          <t>Brokerage</t>
        </is>
      </c>
      <c r="B3" t="inlineStr">
        <is>
          <t>SPY</t>
        </is>
      </c>
      <c r="C3" t="n">
        <v>20</v>
      </c>
      <c r="D3" t="n">
        <v>10000</v>
      </c>
      <c r="E3">
        <f>LOOKUP(2,1/(Prices!$B:$B=Holdings!B3),Prices!$C:$C)</f>
        <v/>
      </c>
      <c r="F3">
        <f>C3*E3</f>
        <v/>
      </c>
      <c r="G3">
        <f>F3-D3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Close</t>
        </is>
      </c>
    </row>
    <row r="2">
      <c r="A2" s="3" t="n">
        <v>45828</v>
      </c>
      <c r="B2" t="inlineStr">
        <is>
          <t>FNGU</t>
        </is>
      </c>
      <c r="C2" t="n">
        <v>30.31</v>
      </c>
    </row>
    <row r="3">
      <c r="A3" s="3" t="n">
        <v>45829</v>
      </c>
      <c r="B3" t="inlineStr">
        <is>
          <t>FNGU</t>
        </is>
      </c>
      <c r="C3" t="n">
        <v>30.24</v>
      </c>
    </row>
    <row r="4">
      <c r="A4" s="3" t="n">
        <v>45830</v>
      </c>
      <c r="B4" t="inlineStr">
        <is>
          <t>FNGU</t>
        </is>
      </c>
      <c r="C4" t="n">
        <v>30.65</v>
      </c>
    </row>
    <row r="5">
      <c r="A5" s="3" t="n">
        <v>45831</v>
      </c>
      <c r="B5" t="inlineStr">
        <is>
          <t>FNGU</t>
        </is>
      </c>
      <c r="C5" t="n">
        <v>31.6</v>
      </c>
    </row>
    <row r="6">
      <c r="A6" s="3" t="n">
        <v>45832</v>
      </c>
      <c r="B6" t="inlineStr">
        <is>
          <t>FNGU</t>
        </is>
      </c>
      <c r="C6" t="n">
        <v>31.47</v>
      </c>
    </row>
    <row r="7">
      <c r="A7" s="3" t="n">
        <v>45833</v>
      </c>
      <c r="B7" t="inlineStr">
        <is>
          <t>FNGU</t>
        </is>
      </c>
      <c r="C7" t="n">
        <v>31.34</v>
      </c>
    </row>
    <row r="8">
      <c r="A8" s="3" t="n">
        <v>45834</v>
      </c>
      <c r="B8" t="inlineStr">
        <is>
          <t>FNGU</t>
        </is>
      </c>
      <c r="C8" t="n">
        <v>32.34</v>
      </c>
    </row>
    <row r="9">
      <c r="A9" s="3" t="n">
        <v>45835</v>
      </c>
      <c r="B9" t="inlineStr">
        <is>
          <t>FNGU</t>
        </is>
      </c>
      <c r="C9" t="n">
        <v>32.85</v>
      </c>
    </row>
    <row r="10">
      <c r="A10" s="3" t="n">
        <v>45836</v>
      </c>
      <c r="B10" t="inlineStr">
        <is>
          <t>FNGU</t>
        </is>
      </c>
      <c r="C10" t="n">
        <v>32.56</v>
      </c>
    </row>
    <row r="11">
      <c r="A11" s="3" t="n">
        <v>45837</v>
      </c>
      <c r="B11" t="inlineStr">
        <is>
          <t>FNGU</t>
        </is>
      </c>
      <c r="C11" t="n">
        <v>32.93</v>
      </c>
    </row>
    <row r="12">
      <c r="A12" s="3" t="n">
        <v>45838</v>
      </c>
      <c r="B12" t="inlineStr">
        <is>
          <t>FNGU</t>
        </is>
      </c>
      <c r="C12" t="n">
        <v>32.64</v>
      </c>
    </row>
    <row r="13">
      <c r="A13" s="3" t="n">
        <v>45839</v>
      </c>
      <c r="B13" t="inlineStr">
        <is>
          <t>FNGU</t>
        </is>
      </c>
      <c r="C13" t="n">
        <v>32.36</v>
      </c>
    </row>
    <row r="14">
      <c r="A14" s="3" t="n">
        <v>45840</v>
      </c>
      <c r="B14" t="inlineStr">
        <is>
          <t>FNGU</t>
        </is>
      </c>
      <c r="C14" t="n">
        <v>32.53</v>
      </c>
    </row>
    <row r="15">
      <c r="A15" s="3" t="n">
        <v>45841</v>
      </c>
      <c r="B15" t="inlineStr">
        <is>
          <t>FNGU</t>
        </is>
      </c>
      <c r="C15" t="n">
        <v>31.3</v>
      </c>
    </row>
    <row r="16">
      <c r="A16" s="3" t="n">
        <v>45842</v>
      </c>
      <c r="B16" t="inlineStr">
        <is>
          <t>FNGU</t>
        </is>
      </c>
      <c r="C16" t="n">
        <v>30.24</v>
      </c>
    </row>
    <row r="17">
      <c r="A17" s="3" t="n">
        <v>45843</v>
      </c>
      <c r="B17" t="inlineStr">
        <is>
          <t>FNGU</t>
        </is>
      </c>
      <c r="C17" t="n">
        <v>29.91</v>
      </c>
    </row>
    <row r="18">
      <c r="A18" s="3" t="n">
        <v>45844</v>
      </c>
      <c r="B18" t="inlineStr">
        <is>
          <t>FNGU</t>
        </is>
      </c>
      <c r="C18" t="n">
        <v>29.32</v>
      </c>
    </row>
    <row r="19">
      <c r="A19" s="3" t="n">
        <v>45845</v>
      </c>
      <c r="B19" t="inlineStr">
        <is>
          <t>FNGU</t>
        </is>
      </c>
      <c r="C19" t="n">
        <v>29.52</v>
      </c>
    </row>
    <row r="20">
      <c r="A20" s="3" t="n">
        <v>45846</v>
      </c>
      <c r="B20" t="inlineStr">
        <is>
          <t>FNGU</t>
        </is>
      </c>
      <c r="C20" t="n">
        <v>29</v>
      </c>
    </row>
    <row r="21">
      <c r="A21" s="3" t="n">
        <v>45847</v>
      </c>
      <c r="B21" t="inlineStr">
        <is>
          <t>FNGU</t>
        </is>
      </c>
      <c r="C21" t="n">
        <v>28.19</v>
      </c>
    </row>
    <row r="22">
      <c r="A22" s="3" t="n">
        <v>45848</v>
      </c>
      <c r="B22" t="inlineStr">
        <is>
          <t>FNGU</t>
        </is>
      </c>
      <c r="C22" t="n">
        <v>29.03</v>
      </c>
    </row>
    <row r="23">
      <c r="A23" s="3" t="n">
        <v>45849</v>
      </c>
      <c r="B23" t="inlineStr">
        <is>
          <t>FNGU</t>
        </is>
      </c>
      <c r="C23" t="n">
        <v>28.92</v>
      </c>
    </row>
    <row r="24">
      <c r="A24" s="3" t="n">
        <v>45850</v>
      </c>
      <c r="B24" t="inlineStr">
        <is>
          <t>FNGU</t>
        </is>
      </c>
      <c r="C24" t="n">
        <v>28.97</v>
      </c>
    </row>
    <row r="25">
      <c r="A25" s="3" t="n">
        <v>45851</v>
      </c>
      <c r="B25" t="inlineStr">
        <is>
          <t>FNGU</t>
        </is>
      </c>
      <c r="C25" t="n">
        <v>28.16</v>
      </c>
    </row>
    <row r="26">
      <c r="A26" s="3" t="n">
        <v>45852</v>
      </c>
      <c r="B26" t="inlineStr">
        <is>
          <t>FNGU</t>
        </is>
      </c>
      <c r="C26" t="n">
        <v>27.87</v>
      </c>
    </row>
    <row r="27">
      <c r="A27" s="3" t="n">
        <v>45853</v>
      </c>
      <c r="B27" t="inlineStr">
        <is>
          <t>FNGU</t>
        </is>
      </c>
      <c r="C27" t="n">
        <v>27.94</v>
      </c>
    </row>
    <row r="28">
      <c r="A28" s="3" t="n">
        <v>45854</v>
      </c>
      <c r="B28" t="inlineStr">
        <is>
          <t>FNGU</t>
        </is>
      </c>
      <c r="C28" t="n">
        <v>27.31</v>
      </c>
    </row>
    <row r="29">
      <c r="A29" s="3" t="n">
        <v>45855</v>
      </c>
      <c r="B29" t="inlineStr">
        <is>
          <t>FNGU</t>
        </is>
      </c>
      <c r="C29" t="n">
        <v>27.53</v>
      </c>
    </row>
    <row r="30">
      <c r="A30" s="3" t="n">
        <v>45856</v>
      </c>
      <c r="B30" t="inlineStr">
        <is>
          <t>FNGU</t>
        </is>
      </c>
      <c r="C30" t="n">
        <v>27.22</v>
      </c>
    </row>
    <row r="31">
      <c r="A31" s="3" t="n">
        <v>45857</v>
      </c>
      <c r="B31" t="inlineStr">
        <is>
          <t>FNGU</t>
        </is>
      </c>
      <c r="C31" t="n">
        <v>27.07</v>
      </c>
    </row>
    <row r="32">
      <c r="A32" s="3" t="n">
        <v>45858</v>
      </c>
      <c r="B32" t="inlineStr">
        <is>
          <t>FNGU</t>
        </is>
      </c>
      <c r="C32" t="n">
        <v>26.76</v>
      </c>
    </row>
    <row r="33">
      <c r="A33" s="3" t="n">
        <v>45859</v>
      </c>
      <c r="B33" t="inlineStr">
        <is>
          <t>FNGU</t>
        </is>
      </c>
      <c r="C33" t="n">
        <v>27.76</v>
      </c>
    </row>
    <row r="34">
      <c r="A34" s="3" t="n">
        <v>45860</v>
      </c>
      <c r="B34" t="inlineStr">
        <is>
          <t>FNGU</t>
        </is>
      </c>
      <c r="C34" t="n">
        <v>27.77</v>
      </c>
    </row>
    <row r="35">
      <c r="A35" s="3" t="n">
        <v>45861</v>
      </c>
      <c r="B35" t="inlineStr">
        <is>
          <t>FNGU</t>
        </is>
      </c>
      <c r="C35" t="n">
        <v>27.2</v>
      </c>
    </row>
    <row r="36">
      <c r="A36" s="3" t="n">
        <v>45862</v>
      </c>
      <c r="B36" t="inlineStr">
        <is>
          <t>FNGU</t>
        </is>
      </c>
      <c r="C36" t="n">
        <v>27.66</v>
      </c>
    </row>
    <row r="37">
      <c r="A37" s="3" t="n">
        <v>45863</v>
      </c>
      <c r="B37" t="inlineStr">
        <is>
          <t>FNGU</t>
        </is>
      </c>
      <c r="C37" t="n">
        <v>26.99</v>
      </c>
    </row>
    <row r="38">
      <c r="A38" s="3" t="n">
        <v>45864</v>
      </c>
      <c r="B38" t="inlineStr">
        <is>
          <t>FNGU</t>
        </is>
      </c>
      <c r="C38" t="n">
        <v>27.12</v>
      </c>
    </row>
    <row r="39">
      <c r="A39" s="3" t="n">
        <v>45865</v>
      </c>
      <c r="B39" t="inlineStr">
        <is>
          <t>FNGU</t>
        </is>
      </c>
      <c r="C39" t="n">
        <v>26.07</v>
      </c>
    </row>
    <row r="40">
      <c r="A40" s="3" t="n">
        <v>45866</v>
      </c>
      <c r="B40" t="inlineStr">
        <is>
          <t>FNGU</t>
        </is>
      </c>
      <c r="C40" t="n">
        <v>25.39</v>
      </c>
    </row>
    <row r="41">
      <c r="A41" s="3" t="n">
        <v>45867</v>
      </c>
      <c r="B41" t="inlineStr">
        <is>
          <t>FNGU</t>
        </is>
      </c>
      <c r="C41" t="n">
        <v>25.5</v>
      </c>
    </row>
    <row r="42">
      <c r="A42" s="3" t="n">
        <v>45868</v>
      </c>
      <c r="B42" t="inlineStr">
        <is>
          <t>FNGU</t>
        </is>
      </c>
      <c r="C42" t="n">
        <v>25.89</v>
      </c>
    </row>
    <row r="43">
      <c r="A43" s="3" t="n">
        <v>45869</v>
      </c>
      <c r="B43" t="inlineStr">
        <is>
          <t>FNGU</t>
        </is>
      </c>
      <c r="C43" t="n">
        <v>26</v>
      </c>
    </row>
    <row r="44">
      <c r="A44" s="3" t="n">
        <v>45870</v>
      </c>
      <c r="B44" t="inlineStr">
        <is>
          <t>FNGU</t>
        </is>
      </c>
      <c r="C44" t="n">
        <v>25.95</v>
      </c>
    </row>
    <row r="45">
      <c r="A45" s="3" t="n">
        <v>45871</v>
      </c>
      <c r="B45" t="inlineStr">
        <is>
          <t>FNGU</t>
        </is>
      </c>
      <c r="C45" t="n">
        <v>25.81</v>
      </c>
    </row>
    <row r="46">
      <c r="A46" s="3" t="n">
        <v>45872</v>
      </c>
      <c r="B46" t="inlineStr">
        <is>
          <t>FNGU</t>
        </is>
      </c>
      <c r="C46" t="n">
        <v>25.06</v>
      </c>
    </row>
    <row r="47">
      <c r="A47" s="3" t="n">
        <v>45873</v>
      </c>
      <c r="B47" t="inlineStr">
        <is>
          <t>FNGU</t>
        </is>
      </c>
      <c r="C47" t="n">
        <v>24.71</v>
      </c>
    </row>
    <row r="48">
      <c r="A48" s="3" t="n">
        <v>45874</v>
      </c>
      <c r="B48" t="inlineStr">
        <is>
          <t>FNGU</t>
        </is>
      </c>
      <c r="C48" t="n">
        <v>24.49</v>
      </c>
    </row>
    <row r="49">
      <c r="A49" s="3" t="n">
        <v>45875</v>
      </c>
      <c r="B49" t="inlineStr">
        <is>
          <t>FNGU</t>
        </is>
      </c>
      <c r="C49" t="n">
        <v>25.02</v>
      </c>
    </row>
    <row r="50">
      <c r="A50" s="3" t="n">
        <v>45876</v>
      </c>
      <c r="B50" t="inlineStr">
        <is>
          <t>FNGU</t>
        </is>
      </c>
      <c r="C50" t="n">
        <v>25.21</v>
      </c>
    </row>
    <row r="51">
      <c r="A51" s="3" t="n">
        <v>45877</v>
      </c>
      <c r="B51" t="inlineStr">
        <is>
          <t>FNGU</t>
        </is>
      </c>
      <c r="C51" t="n">
        <v>24.33</v>
      </c>
    </row>
    <row r="52">
      <c r="A52" s="3" t="n">
        <v>45878</v>
      </c>
      <c r="B52" t="inlineStr">
        <is>
          <t>FNGU</t>
        </is>
      </c>
      <c r="C52" t="n">
        <v>24.5</v>
      </c>
    </row>
    <row r="53">
      <c r="A53" s="3" t="n">
        <v>45879</v>
      </c>
      <c r="B53" t="inlineStr">
        <is>
          <t>FNGU</t>
        </is>
      </c>
      <c r="C53" t="n">
        <v>24.32</v>
      </c>
    </row>
    <row r="54">
      <c r="A54" s="3" t="n">
        <v>45880</v>
      </c>
      <c r="B54" t="inlineStr">
        <is>
          <t>FNGU</t>
        </is>
      </c>
      <c r="C54" t="n">
        <v>24.01</v>
      </c>
    </row>
    <row r="55">
      <c r="A55" s="3" t="n">
        <v>45881</v>
      </c>
      <c r="B55" t="inlineStr">
        <is>
          <t>FNGU</t>
        </is>
      </c>
      <c r="C55" t="n">
        <v>24.31</v>
      </c>
    </row>
    <row r="56">
      <c r="A56" s="3" t="n">
        <v>45882</v>
      </c>
      <c r="B56" t="inlineStr">
        <is>
          <t>FNGU</t>
        </is>
      </c>
      <c r="C56" t="n">
        <v>24.83</v>
      </c>
    </row>
    <row r="57">
      <c r="A57" s="3" t="n">
        <v>45883</v>
      </c>
      <c r="B57" t="inlineStr">
        <is>
          <t>FNGU</t>
        </is>
      </c>
      <c r="C57" t="n">
        <v>25.3</v>
      </c>
    </row>
    <row r="58">
      <c r="A58" s="3" t="n">
        <v>45884</v>
      </c>
      <c r="B58" t="inlineStr">
        <is>
          <t>FNGU</t>
        </is>
      </c>
      <c r="C58" t="n">
        <v>24.89</v>
      </c>
    </row>
    <row r="59">
      <c r="A59" s="3" t="n">
        <v>45885</v>
      </c>
      <c r="B59" t="inlineStr">
        <is>
          <t>FNGU</t>
        </is>
      </c>
      <c r="C59" t="n">
        <v>24.75</v>
      </c>
    </row>
    <row r="60">
      <c r="A60" s="3" t="n">
        <v>45886</v>
      </c>
      <c r="B60" t="inlineStr">
        <is>
          <t>FNGU</t>
        </is>
      </c>
      <c r="C60" t="n">
        <v>24.92</v>
      </c>
    </row>
    <row r="61">
      <c r="A61" s="3" t="n">
        <v>45887</v>
      </c>
      <c r="B61" t="inlineStr">
        <is>
          <t>FNGU</t>
        </is>
      </c>
      <c r="C61" t="n">
        <v>25.42</v>
      </c>
    </row>
    <row r="62">
      <c r="A62" s="3" t="n">
        <v>45888</v>
      </c>
      <c r="B62" t="inlineStr">
        <is>
          <t>FNGU</t>
        </is>
      </c>
      <c r="C62" t="n">
        <v>25.19</v>
      </c>
    </row>
    <row r="63">
      <c r="A63" s="3" t="n">
        <v>45828</v>
      </c>
      <c r="B63" t="inlineStr">
        <is>
          <t>SPY</t>
        </is>
      </c>
      <c r="C63" t="n">
        <v>518.33</v>
      </c>
    </row>
    <row r="64">
      <c r="A64" s="3" t="n">
        <v>45829</v>
      </c>
      <c r="B64" t="inlineStr">
        <is>
          <t>SPY</t>
        </is>
      </c>
      <c r="C64" t="n">
        <v>507.12</v>
      </c>
    </row>
    <row r="65">
      <c r="A65" s="3" t="n">
        <v>45830</v>
      </c>
      <c r="B65" t="inlineStr">
        <is>
          <t>SPY</t>
        </is>
      </c>
      <c r="C65" t="n">
        <v>495.24</v>
      </c>
    </row>
    <row r="66">
      <c r="A66" s="3" t="n">
        <v>45831</v>
      </c>
      <c r="B66" t="inlineStr">
        <is>
          <t>SPY</t>
        </is>
      </c>
      <c r="C66" t="n">
        <v>503.54</v>
      </c>
    </row>
    <row r="67">
      <c r="A67" s="3" t="n">
        <v>45832</v>
      </c>
      <c r="B67" t="inlineStr">
        <is>
          <t>SPY</t>
        </is>
      </c>
      <c r="C67" t="n">
        <v>517.45</v>
      </c>
    </row>
    <row r="68">
      <c r="A68" s="3" t="n">
        <v>45833</v>
      </c>
      <c r="B68" t="inlineStr">
        <is>
          <t>SPY</t>
        </is>
      </c>
      <c r="C68" t="n">
        <v>516.96</v>
      </c>
    </row>
    <row r="69">
      <c r="A69" s="3" t="n">
        <v>45834</v>
      </c>
      <c r="B69" t="inlineStr">
        <is>
          <t>SPY</t>
        </is>
      </c>
      <c r="C69" t="n">
        <v>527.59</v>
      </c>
    </row>
    <row r="70">
      <c r="A70" s="3" t="n">
        <v>45835</v>
      </c>
      <c r="B70" t="inlineStr">
        <is>
          <t>SPY</t>
        </is>
      </c>
      <c r="C70" t="n">
        <v>531.67</v>
      </c>
    </row>
    <row r="71">
      <c r="A71" s="3" t="n">
        <v>45836</v>
      </c>
      <c r="B71" t="inlineStr">
        <is>
          <t>SPY</t>
        </is>
      </c>
      <c r="C71" t="n">
        <v>525.08</v>
      </c>
    </row>
    <row r="72">
      <c r="A72" s="3" t="n">
        <v>45837</v>
      </c>
      <c r="B72" t="inlineStr">
        <is>
          <t>SPY</t>
        </is>
      </c>
      <c r="C72" t="n">
        <v>529.14</v>
      </c>
    </row>
    <row r="73">
      <c r="A73" s="3" t="n">
        <v>45838</v>
      </c>
      <c r="B73" t="inlineStr">
        <is>
          <t>SPY</t>
        </is>
      </c>
      <c r="C73" t="n">
        <v>545.6799999999999</v>
      </c>
    </row>
    <row r="74">
      <c r="A74" s="3" t="n">
        <v>45839</v>
      </c>
      <c r="B74" t="inlineStr">
        <is>
          <t>SPY</t>
        </is>
      </c>
      <c r="C74" t="n">
        <v>545.5599999999999</v>
      </c>
    </row>
    <row r="75">
      <c r="A75" s="3" t="n">
        <v>45840</v>
      </c>
      <c r="B75" t="inlineStr">
        <is>
          <t>SPY</t>
        </is>
      </c>
      <c r="C75" t="n">
        <v>562.91</v>
      </c>
    </row>
    <row r="76">
      <c r="A76" s="3" t="n">
        <v>45841</v>
      </c>
      <c r="B76" t="inlineStr">
        <is>
          <t>SPY</t>
        </is>
      </c>
      <c r="C76" t="n">
        <v>533.6900000000001</v>
      </c>
    </row>
    <row r="77">
      <c r="A77" s="3" t="n">
        <v>45842</v>
      </c>
      <c r="B77" t="inlineStr">
        <is>
          <t>SPY</t>
        </is>
      </c>
      <c r="C77" t="n">
        <v>542.73</v>
      </c>
    </row>
    <row r="78">
      <c r="A78" s="3" t="n">
        <v>45843</v>
      </c>
      <c r="B78" t="inlineStr">
        <is>
          <t>SPY</t>
        </is>
      </c>
      <c r="C78" t="n">
        <v>543.95</v>
      </c>
    </row>
    <row r="79">
      <c r="A79" s="3" t="n">
        <v>45844</v>
      </c>
      <c r="B79" t="inlineStr">
        <is>
          <t>SPY</t>
        </is>
      </c>
      <c r="C79" t="n">
        <v>540.97</v>
      </c>
    </row>
    <row r="80">
      <c r="A80" s="3" t="n">
        <v>45845</v>
      </c>
      <c r="B80" t="inlineStr">
        <is>
          <t>SPY</t>
        </is>
      </c>
      <c r="C80" t="n">
        <v>542.23</v>
      </c>
    </row>
    <row r="81">
      <c r="A81" s="3" t="n">
        <v>45846</v>
      </c>
      <c r="B81" t="inlineStr">
        <is>
          <t>SPY</t>
        </is>
      </c>
      <c r="C81" t="n">
        <v>520.95</v>
      </c>
    </row>
    <row r="82">
      <c r="A82" s="3" t="n">
        <v>45847</v>
      </c>
      <c r="B82" t="inlineStr">
        <is>
          <t>SPY</t>
        </is>
      </c>
      <c r="C82" t="n">
        <v>518.92</v>
      </c>
    </row>
    <row r="83">
      <c r="A83" s="3" t="n">
        <v>45848</v>
      </c>
      <c r="B83" t="inlineStr">
        <is>
          <t>SPY</t>
        </is>
      </c>
      <c r="C83" t="n">
        <v>522.89</v>
      </c>
    </row>
    <row r="84">
      <c r="A84" s="3" t="n">
        <v>45849</v>
      </c>
      <c r="B84" t="inlineStr">
        <is>
          <t>SPY</t>
        </is>
      </c>
      <c r="C84" t="n">
        <v>538.6</v>
      </c>
    </row>
    <row r="85">
      <c r="A85" s="3" t="n">
        <v>45850</v>
      </c>
      <c r="B85" t="inlineStr">
        <is>
          <t>SPY</t>
        </is>
      </c>
      <c r="C85" t="n">
        <v>533.29</v>
      </c>
    </row>
    <row r="86">
      <c r="A86" s="3" t="n">
        <v>45851</v>
      </c>
      <c r="B86" t="inlineStr">
        <is>
          <t>SPY</t>
        </is>
      </c>
      <c r="C86" t="n">
        <v>524.9299999999999</v>
      </c>
    </row>
    <row r="87">
      <c r="A87" s="3" t="n">
        <v>45852</v>
      </c>
      <c r="B87" t="inlineStr">
        <is>
          <t>SPY</t>
        </is>
      </c>
      <c r="C87" t="n">
        <v>519.9299999999999</v>
      </c>
    </row>
    <row r="88">
      <c r="A88" s="3" t="n">
        <v>45853</v>
      </c>
      <c r="B88" t="inlineStr">
        <is>
          <t>SPY</t>
        </is>
      </c>
      <c r="C88" t="n">
        <v>529.71</v>
      </c>
    </row>
    <row r="89">
      <c r="A89" s="3" t="n">
        <v>45854</v>
      </c>
      <c r="B89" t="inlineStr">
        <is>
          <t>SPY</t>
        </is>
      </c>
      <c r="C89" t="n">
        <v>533.45</v>
      </c>
    </row>
    <row r="90">
      <c r="A90" s="3" t="n">
        <v>45855</v>
      </c>
      <c r="B90" t="inlineStr">
        <is>
          <t>SPY</t>
        </is>
      </c>
      <c r="C90" t="n">
        <v>528.0700000000001</v>
      </c>
    </row>
    <row r="91">
      <c r="A91" s="3" t="n">
        <v>45856</v>
      </c>
      <c r="B91" t="inlineStr">
        <is>
          <t>SPY</t>
        </is>
      </c>
      <c r="C91" t="n">
        <v>533.75</v>
      </c>
    </row>
    <row r="92">
      <c r="A92" s="3" t="n">
        <v>45857</v>
      </c>
      <c r="B92" t="inlineStr">
        <is>
          <t>SPY</t>
        </is>
      </c>
      <c r="C92" t="n">
        <v>535.0599999999999</v>
      </c>
    </row>
    <row r="93">
      <c r="A93" s="3" t="n">
        <v>45858</v>
      </c>
      <c r="B93" t="inlineStr">
        <is>
          <t>SPY</t>
        </is>
      </c>
      <c r="C93" t="n">
        <v>545.6900000000001</v>
      </c>
    </row>
    <row r="94">
      <c r="A94" s="3" t="n">
        <v>45859</v>
      </c>
      <c r="B94" t="inlineStr">
        <is>
          <t>SPY</t>
        </is>
      </c>
      <c r="C94" t="n">
        <v>538.3</v>
      </c>
    </row>
    <row r="95">
      <c r="A95" s="3" t="n">
        <v>45860</v>
      </c>
      <c r="B95" t="inlineStr">
        <is>
          <t>SPY</t>
        </is>
      </c>
      <c r="C95" t="n">
        <v>535.04</v>
      </c>
    </row>
    <row r="96">
      <c r="A96" s="3" t="n">
        <v>45861</v>
      </c>
      <c r="B96" t="inlineStr">
        <is>
          <t>SPY</t>
        </is>
      </c>
      <c r="C96" t="n">
        <v>531.11</v>
      </c>
    </row>
    <row r="97">
      <c r="A97" s="3" t="n">
        <v>45862</v>
      </c>
      <c r="B97" t="inlineStr">
        <is>
          <t>SPY</t>
        </is>
      </c>
      <c r="C97" t="n">
        <v>515.83</v>
      </c>
    </row>
    <row r="98">
      <c r="A98" s="3" t="n">
        <v>45863</v>
      </c>
      <c r="B98" t="inlineStr">
        <is>
          <t>SPY</t>
        </is>
      </c>
      <c r="C98" t="n">
        <v>519.15</v>
      </c>
    </row>
    <row r="99">
      <c r="A99" s="3" t="n">
        <v>45864</v>
      </c>
      <c r="B99" t="inlineStr">
        <is>
          <t>SPY</t>
        </is>
      </c>
      <c r="C99" t="n">
        <v>522.12</v>
      </c>
    </row>
    <row r="100">
      <c r="A100" s="3" t="n">
        <v>45865</v>
      </c>
      <c r="B100" t="inlineStr">
        <is>
          <t>SPY</t>
        </is>
      </c>
      <c r="C100" t="n">
        <v>522.4299999999999</v>
      </c>
    </row>
    <row r="101">
      <c r="A101" s="3" t="n">
        <v>45866</v>
      </c>
      <c r="B101" t="inlineStr">
        <is>
          <t>SPY</t>
        </is>
      </c>
      <c r="C101" t="n">
        <v>520.24</v>
      </c>
    </row>
    <row r="102">
      <c r="A102" s="3" t="n">
        <v>45867</v>
      </c>
      <c r="B102" t="inlineStr">
        <is>
          <t>SPY</t>
        </is>
      </c>
      <c r="C102" t="n">
        <v>505.77</v>
      </c>
    </row>
    <row r="103">
      <c r="A103" s="3" t="n">
        <v>45868</v>
      </c>
      <c r="B103" t="inlineStr">
        <is>
          <t>SPY</t>
        </is>
      </c>
      <c r="C103" t="n">
        <v>501.77</v>
      </c>
    </row>
    <row r="104">
      <c r="A104" s="3" t="n">
        <v>45869</v>
      </c>
      <c r="B104" t="inlineStr">
        <is>
          <t>SPY</t>
        </is>
      </c>
      <c r="C104" t="n">
        <v>498.58</v>
      </c>
    </row>
    <row r="105">
      <c r="A105" s="3" t="n">
        <v>45870</v>
      </c>
      <c r="B105" t="inlineStr">
        <is>
          <t>SPY</t>
        </is>
      </c>
      <c r="C105" t="n">
        <v>490.83</v>
      </c>
    </row>
    <row r="106">
      <c r="A106" s="3" t="n">
        <v>45871</v>
      </c>
      <c r="B106" t="inlineStr">
        <is>
          <t>SPY</t>
        </is>
      </c>
      <c r="C106" t="n">
        <v>489.5</v>
      </c>
    </row>
    <row r="107">
      <c r="A107" s="3" t="n">
        <v>45872</v>
      </c>
      <c r="B107" t="inlineStr">
        <is>
          <t>SPY</t>
        </is>
      </c>
      <c r="C107" t="n">
        <v>493.7</v>
      </c>
    </row>
    <row r="108">
      <c r="A108" s="3" t="n">
        <v>45873</v>
      </c>
      <c r="B108" t="inlineStr">
        <is>
          <t>SPY</t>
        </is>
      </c>
      <c r="C108" t="n">
        <v>512.5700000000001</v>
      </c>
    </row>
    <row r="109">
      <c r="A109" s="3" t="n">
        <v>45874</v>
      </c>
      <c r="B109" t="inlineStr">
        <is>
          <t>SPY</t>
        </is>
      </c>
      <c r="C109" t="n">
        <v>514.61</v>
      </c>
    </row>
    <row r="110">
      <c r="A110" s="3" t="n">
        <v>45875</v>
      </c>
      <c r="B110" t="inlineStr">
        <is>
          <t>SPY</t>
        </is>
      </c>
      <c r="C110" t="n">
        <v>517.52</v>
      </c>
    </row>
    <row r="111">
      <c r="A111" s="3" t="n">
        <v>45876</v>
      </c>
      <c r="B111" t="inlineStr">
        <is>
          <t>SPY</t>
        </is>
      </c>
      <c r="C111" t="n">
        <v>517.01</v>
      </c>
    </row>
    <row r="112">
      <c r="A112" s="3" t="n">
        <v>45877</v>
      </c>
      <c r="B112" t="inlineStr">
        <is>
          <t>SPY</t>
        </is>
      </c>
      <c r="C112" t="n">
        <v>497.43</v>
      </c>
    </row>
    <row r="113">
      <c r="A113" s="3" t="n">
        <v>45878</v>
      </c>
      <c r="B113" t="inlineStr">
        <is>
          <t>SPY</t>
        </is>
      </c>
      <c r="C113" t="n">
        <v>497.41</v>
      </c>
    </row>
    <row r="114">
      <c r="A114" s="3" t="n">
        <v>45879</v>
      </c>
      <c r="B114" t="inlineStr">
        <is>
          <t>SPY</t>
        </is>
      </c>
      <c r="C114" t="n">
        <v>498.26</v>
      </c>
    </row>
    <row r="115">
      <c r="A115" s="3" t="n">
        <v>45880</v>
      </c>
      <c r="B115" t="inlineStr">
        <is>
          <t>SPY</t>
        </is>
      </c>
      <c r="C115" t="n">
        <v>523.0599999999999</v>
      </c>
    </row>
    <row r="116">
      <c r="A116" s="3" t="n">
        <v>45881</v>
      </c>
      <c r="B116" t="inlineStr">
        <is>
          <t>SPY</t>
        </is>
      </c>
      <c r="C116" t="n">
        <v>521.3</v>
      </c>
    </row>
    <row r="117">
      <c r="A117" s="3" t="n">
        <v>45882</v>
      </c>
      <c r="B117" t="inlineStr">
        <is>
          <t>SPY</t>
        </is>
      </c>
      <c r="C117" t="n">
        <v>524.71</v>
      </c>
    </row>
    <row r="118">
      <c r="A118" s="3" t="n">
        <v>45883</v>
      </c>
      <c r="B118" t="inlineStr">
        <is>
          <t>SPY</t>
        </is>
      </c>
      <c r="C118" t="n">
        <v>524.61</v>
      </c>
    </row>
    <row r="119">
      <c r="A119" s="3" t="n">
        <v>45884</v>
      </c>
      <c r="B119" t="inlineStr">
        <is>
          <t>SPY</t>
        </is>
      </c>
      <c r="C119" t="n">
        <v>512.61</v>
      </c>
    </row>
    <row r="120">
      <c r="A120" s="3" t="n">
        <v>45885</v>
      </c>
      <c r="B120" t="inlineStr">
        <is>
          <t>SPY</t>
        </is>
      </c>
      <c r="C120" t="n">
        <v>524.58</v>
      </c>
    </row>
    <row r="121">
      <c r="A121" s="3" t="n">
        <v>45886</v>
      </c>
      <c r="B121" t="inlineStr">
        <is>
          <t>SPY</t>
        </is>
      </c>
      <c r="C121" t="n">
        <v>532.73</v>
      </c>
    </row>
    <row r="122">
      <c r="A122" s="3" t="n">
        <v>45887</v>
      </c>
      <c r="B122" t="inlineStr">
        <is>
          <t>SPY</t>
        </is>
      </c>
      <c r="C122" t="n">
        <v>541.4299999999999</v>
      </c>
    </row>
    <row r="123">
      <c r="A123" s="3" t="n">
        <v>45888</v>
      </c>
      <c r="B123" t="inlineStr">
        <is>
          <t>SPY</t>
        </is>
      </c>
      <c r="C123" t="n">
        <v>531.85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1" customWidth="1" min="4" max="4"/>
  </cols>
  <sheetData>
    <row r="1">
      <c r="A1" s="2" t="inlineStr">
        <is>
          <t>Date</t>
        </is>
      </c>
      <c r="B1" s="2" t="inlineStr">
        <is>
          <t>TotalValue</t>
        </is>
      </c>
      <c r="C1" s="2" t="inlineStr">
        <is>
          <t>FNGU_Value</t>
        </is>
      </c>
      <c r="D1" s="2" t="inlineStr">
        <is>
          <t>SPY_Value</t>
        </is>
      </c>
    </row>
    <row r="2">
      <c r="A2" s="3" t="n">
        <v>45828</v>
      </c>
      <c r="B2" t="n">
        <v>14913.1</v>
      </c>
      <c r="C2" t="n">
        <v>4546.5</v>
      </c>
      <c r="D2" t="n">
        <v>10366.6</v>
      </c>
    </row>
    <row r="3">
      <c r="A3" s="3" t="n">
        <v>45829</v>
      </c>
      <c r="B3" t="n">
        <v>14678.4</v>
      </c>
      <c r="C3" t="n">
        <v>4536</v>
      </c>
      <c r="D3" t="n">
        <v>10142.4</v>
      </c>
    </row>
    <row r="4">
      <c r="A4" s="3" t="n">
        <v>45830</v>
      </c>
      <c r="B4" t="n">
        <v>14502.3</v>
      </c>
      <c r="C4" t="n">
        <v>4597.5</v>
      </c>
      <c r="D4" t="n">
        <v>9904.799999999999</v>
      </c>
    </row>
    <row r="5">
      <c r="A5" s="3" t="n">
        <v>45831</v>
      </c>
      <c r="B5" t="n">
        <v>14810.8</v>
      </c>
      <c r="C5" t="n">
        <v>4740</v>
      </c>
      <c r="D5" t="n">
        <v>10070.8</v>
      </c>
    </row>
    <row r="6">
      <c r="A6" s="3" t="n">
        <v>45832</v>
      </c>
      <c r="B6" t="n">
        <v>15069.5</v>
      </c>
      <c r="C6" t="n">
        <v>4720.5</v>
      </c>
      <c r="D6" t="n">
        <v>10349</v>
      </c>
    </row>
    <row r="7">
      <c r="A7" s="3" t="n">
        <v>45833</v>
      </c>
      <c r="B7" t="n">
        <v>15040.2</v>
      </c>
      <c r="C7" t="n">
        <v>4701</v>
      </c>
      <c r="D7" t="n">
        <v>10339.2</v>
      </c>
    </row>
    <row r="8">
      <c r="A8" s="3" t="n">
        <v>45834</v>
      </c>
      <c r="B8" t="n">
        <v>15402.8</v>
      </c>
      <c r="C8" t="n">
        <v>4851</v>
      </c>
      <c r="D8" t="n">
        <v>10551.8</v>
      </c>
    </row>
    <row r="9">
      <c r="A9" s="3" t="n">
        <v>45835</v>
      </c>
      <c r="B9" t="n">
        <v>15560.9</v>
      </c>
      <c r="C9" t="n">
        <v>4927.5</v>
      </c>
      <c r="D9" t="n">
        <v>10633.4</v>
      </c>
    </row>
    <row r="10">
      <c r="A10" s="3" t="n">
        <v>45836</v>
      </c>
      <c r="B10" t="n">
        <v>15385.6</v>
      </c>
      <c r="C10" t="n">
        <v>4884</v>
      </c>
      <c r="D10" t="n">
        <v>10501.6</v>
      </c>
    </row>
    <row r="11">
      <c r="A11" s="3" t="n">
        <v>45837</v>
      </c>
      <c r="B11" t="n">
        <v>15522.3</v>
      </c>
      <c r="C11" t="n">
        <v>4939.5</v>
      </c>
      <c r="D11" t="n">
        <v>10582.8</v>
      </c>
    </row>
    <row r="12">
      <c r="A12" s="3" t="n">
        <v>45838</v>
      </c>
      <c r="B12" t="n">
        <v>15809.6</v>
      </c>
      <c r="C12" t="n">
        <v>4896</v>
      </c>
      <c r="D12" t="n">
        <v>10913.6</v>
      </c>
    </row>
    <row r="13">
      <c r="A13" s="3" t="n">
        <v>45839</v>
      </c>
      <c r="B13" t="n">
        <v>15765.2</v>
      </c>
      <c r="C13" t="n">
        <v>4854</v>
      </c>
      <c r="D13" t="n">
        <v>10911.2</v>
      </c>
    </row>
    <row r="14">
      <c r="A14" s="3" t="n">
        <v>45840</v>
      </c>
      <c r="B14" t="n">
        <v>16137.7</v>
      </c>
      <c r="C14" t="n">
        <v>4879.5</v>
      </c>
      <c r="D14" t="n">
        <v>11258.2</v>
      </c>
    </row>
    <row r="15">
      <c r="A15" s="3" t="n">
        <v>45841</v>
      </c>
      <c r="B15" t="n">
        <v>15368.8</v>
      </c>
      <c r="C15" t="n">
        <v>4695</v>
      </c>
      <c r="D15" t="n">
        <v>10673.8</v>
      </c>
    </row>
    <row r="16">
      <c r="A16" s="3" t="n">
        <v>45842</v>
      </c>
      <c r="B16" t="n">
        <v>15390.6</v>
      </c>
      <c r="C16" t="n">
        <v>4536</v>
      </c>
      <c r="D16" t="n">
        <v>10854.6</v>
      </c>
    </row>
    <row r="17">
      <c r="A17" s="3" t="n">
        <v>45843</v>
      </c>
      <c r="B17" t="n">
        <v>15365.5</v>
      </c>
      <c r="C17" t="n">
        <v>4486.5</v>
      </c>
      <c r="D17" t="n">
        <v>10879</v>
      </c>
    </row>
    <row r="18">
      <c r="A18" s="3" t="n">
        <v>45844</v>
      </c>
      <c r="B18" t="n">
        <v>15217.4</v>
      </c>
      <c r="C18" t="n">
        <v>4398</v>
      </c>
      <c r="D18" t="n">
        <v>10819.4</v>
      </c>
    </row>
    <row r="19">
      <c r="A19" s="3" t="n">
        <v>45845</v>
      </c>
      <c r="B19" t="n">
        <v>15272.6</v>
      </c>
      <c r="C19" t="n">
        <v>4428</v>
      </c>
      <c r="D19" t="n">
        <v>10844.6</v>
      </c>
    </row>
    <row r="20">
      <c r="A20" s="3" t="n">
        <v>45846</v>
      </c>
      <c r="B20" t="n">
        <v>14769</v>
      </c>
      <c r="C20" t="n">
        <v>4350</v>
      </c>
      <c r="D20" t="n">
        <v>10419</v>
      </c>
    </row>
    <row r="21">
      <c r="A21" s="3" t="n">
        <v>45847</v>
      </c>
      <c r="B21" t="n">
        <v>14606.9</v>
      </c>
      <c r="C21" t="n">
        <v>4228.5</v>
      </c>
      <c r="D21" t="n">
        <v>10378.4</v>
      </c>
    </row>
    <row r="22">
      <c r="A22" s="3" t="n">
        <v>45848</v>
      </c>
      <c r="B22" t="n">
        <v>14812.3</v>
      </c>
      <c r="C22" t="n">
        <v>4354.5</v>
      </c>
      <c r="D22" t="n">
        <v>10457.8</v>
      </c>
    </row>
    <row r="23">
      <c r="A23" s="3" t="n">
        <v>45849</v>
      </c>
      <c r="B23" t="n">
        <v>15110</v>
      </c>
      <c r="C23" t="n">
        <v>4338</v>
      </c>
      <c r="D23" t="n">
        <v>10772</v>
      </c>
    </row>
    <row r="24">
      <c r="A24" s="3" t="n">
        <v>45850</v>
      </c>
      <c r="B24" t="n">
        <v>15011.3</v>
      </c>
      <c r="C24" t="n">
        <v>4345.5</v>
      </c>
      <c r="D24" t="n">
        <v>10665.8</v>
      </c>
    </row>
    <row r="25">
      <c r="A25" s="3" t="n">
        <v>45851</v>
      </c>
      <c r="B25" t="n">
        <v>14722.6</v>
      </c>
      <c r="C25" t="n">
        <v>4224</v>
      </c>
      <c r="D25" t="n">
        <v>10498.6</v>
      </c>
    </row>
    <row r="26">
      <c r="A26" s="3" t="n">
        <v>45852</v>
      </c>
      <c r="B26" t="n">
        <v>14579.1</v>
      </c>
      <c r="C26" t="n">
        <v>4180.5</v>
      </c>
      <c r="D26" t="n">
        <v>10398.6</v>
      </c>
    </row>
    <row r="27">
      <c r="A27" s="3" t="n">
        <v>45853</v>
      </c>
      <c r="B27" t="n">
        <v>14785.2</v>
      </c>
      <c r="C27" t="n">
        <v>4191</v>
      </c>
      <c r="D27" t="n">
        <v>10594.2</v>
      </c>
    </row>
    <row r="28">
      <c r="A28" s="3" t="n">
        <v>45854</v>
      </c>
      <c r="B28" t="n">
        <v>14765.5</v>
      </c>
      <c r="C28" t="n">
        <v>4096.5</v>
      </c>
      <c r="D28" t="n">
        <v>10669</v>
      </c>
    </row>
    <row r="29">
      <c r="A29" s="3" t="n">
        <v>45855</v>
      </c>
      <c r="B29" t="n">
        <v>14690.9</v>
      </c>
      <c r="C29" t="n">
        <v>4129.5</v>
      </c>
      <c r="D29" t="n">
        <v>10561.4</v>
      </c>
    </row>
    <row r="30">
      <c r="A30" s="3" t="n">
        <v>45856</v>
      </c>
      <c r="B30" t="n">
        <v>14758</v>
      </c>
      <c r="C30" t="n">
        <v>4083</v>
      </c>
      <c r="D30" t="n">
        <v>10675</v>
      </c>
    </row>
    <row r="31">
      <c r="A31" s="3" t="n">
        <v>45857</v>
      </c>
      <c r="B31" t="n">
        <v>14761.7</v>
      </c>
      <c r="C31" t="n">
        <v>4060.5</v>
      </c>
      <c r="D31" t="n">
        <v>10701.2</v>
      </c>
    </row>
    <row r="32">
      <c r="A32" s="3" t="n">
        <v>45858</v>
      </c>
      <c r="B32" t="n">
        <v>14927.8</v>
      </c>
      <c r="C32" t="n">
        <v>4014</v>
      </c>
      <c r="D32" t="n">
        <v>10913.8</v>
      </c>
    </row>
    <row r="33">
      <c r="A33" s="3" t="n">
        <v>45859</v>
      </c>
      <c r="B33" t="n">
        <v>14930</v>
      </c>
      <c r="C33" t="n">
        <v>4164</v>
      </c>
      <c r="D33" t="n">
        <v>10766</v>
      </c>
    </row>
    <row r="34">
      <c r="A34" s="3" t="n">
        <v>45860</v>
      </c>
      <c r="B34" t="n">
        <v>14866.3</v>
      </c>
      <c r="C34" t="n">
        <v>4165.5</v>
      </c>
      <c r="D34" t="n">
        <v>10700.8</v>
      </c>
    </row>
    <row r="35">
      <c r="A35" s="3" t="n">
        <v>45861</v>
      </c>
      <c r="B35" t="n">
        <v>14702.2</v>
      </c>
      <c r="C35" t="n">
        <v>4080</v>
      </c>
      <c r="D35" t="n">
        <v>10622.2</v>
      </c>
    </row>
    <row r="36">
      <c r="A36" s="3" t="n">
        <v>45862</v>
      </c>
      <c r="B36" t="n">
        <v>14465.6</v>
      </c>
      <c r="C36" t="n">
        <v>4149</v>
      </c>
      <c r="D36" t="n">
        <v>10316.6</v>
      </c>
    </row>
    <row r="37">
      <c r="A37" s="3" t="n">
        <v>45863</v>
      </c>
      <c r="B37" t="n">
        <v>14431.5</v>
      </c>
      <c r="C37" t="n">
        <v>4048.5</v>
      </c>
      <c r="D37" t="n">
        <v>10383</v>
      </c>
    </row>
    <row r="38">
      <c r="A38" s="3" t="n">
        <v>45864</v>
      </c>
      <c r="B38" t="n">
        <v>14510.4</v>
      </c>
      <c r="C38" t="n">
        <v>4068</v>
      </c>
      <c r="D38" t="n">
        <v>10442.4</v>
      </c>
    </row>
    <row r="39">
      <c r="A39" s="3" t="n">
        <v>45865</v>
      </c>
      <c r="B39" t="n">
        <v>14359.1</v>
      </c>
      <c r="C39" t="n">
        <v>3910.5</v>
      </c>
      <c r="D39" t="n">
        <v>10448.6</v>
      </c>
    </row>
    <row r="40">
      <c r="A40" s="3" t="n">
        <v>45866</v>
      </c>
      <c r="B40" t="n">
        <v>14213.3</v>
      </c>
      <c r="C40" t="n">
        <v>3808.5</v>
      </c>
      <c r="D40" t="n">
        <v>10404.8</v>
      </c>
    </row>
    <row r="41">
      <c r="A41" s="3" t="n">
        <v>45867</v>
      </c>
      <c r="B41" t="n">
        <v>13940.4</v>
      </c>
      <c r="C41" t="n">
        <v>3825</v>
      </c>
      <c r="D41" t="n">
        <v>10115.4</v>
      </c>
    </row>
    <row r="42">
      <c r="A42" s="3" t="n">
        <v>45868</v>
      </c>
      <c r="B42" t="n">
        <v>13918.9</v>
      </c>
      <c r="C42" t="n">
        <v>3883.5</v>
      </c>
      <c r="D42" t="n">
        <v>10035.4</v>
      </c>
    </row>
    <row r="43">
      <c r="A43" s="3" t="n">
        <v>45869</v>
      </c>
      <c r="B43" t="n">
        <v>13871.6</v>
      </c>
      <c r="C43" t="n">
        <v>3900</v>
      </c>
      <c r="D43" t="n">
        <v>9971.6</v>
      </c>
    </row>
    <row r="44">
      <c r="A44" s="3" t="n">
        <v>45870</v>
      </c>
      <c r="B44" t="n">
        <v>13709.1</v>
      </c>
      <c r="C44" t="n">
        <v>3892.5</v>
      </c>
      <c r="D44" t="n">
        <v>9816.6</v>
      </c>
    </row>
    <row r="45">
      <c r="A45" s="3" t="n">
        <v>45871</v>
      </c>
      <c r="B45" t="n">
        <v>13661.5</v>
      </c>
      <c r="C45" t="n">
        <v>3871.5</v>
      </c>
      <c r="D45" t="n">
        <v>9790</v>
      </c>
    </row>
    <row r="46">
      <c r="A46" s="3" t="n">
        <v>45872</v>
      </c>
      <c r="B46" t="n">
        <v>13633</v>
      </c>
      <c r="C46" t="n">
        <v>3759</v>
      </c>
      <c r="D46" t="n">
        <v>9874</v>
      </c>
    </row>
    <row r="47">
      <c r="A47" s="3" t="n">
        <v>45873</v>
      </c>
      <c r="B47" t="n">
        <v>13957.9</v>
      </c>
      <c r="C47" t="n">
        <v>3706.5</v>
      </c>
      <c r="D47" t="n">
        <v>10251.4</v>
      </c>
    </row>
    <row r="48">
      <c r="A48" s="3" t="n">
        <v>45874</v>
      </c>
      <c r="B48" t="n">
        <v>13965.7</v>
      </c>
      <c r="C48" t="n">
        <v>3673.5</v>
      </c>
      <c r="D48" t="n">
        <v>10292.2</v>
      </c>
    </row>
    <row r="49">
      <c r="A49" s="3" t="n">
        <v>45875</v>
      </c>
      <c r="B49" t="n">
        <v>14103.4</v>
      </c>
      <c r="C49" t="n">
        <v>3753</v>
      </c>
      <c r="D49" t="n">
        <v>10350.4</v>
      </c>
    </row>
    <row r="50">
      <c r="A50" s="3" t="n">
        <v>45876</v>
      </c>
      <c r="B50" t="n">
        <v>14121.7</v>
      </c>
      <c r="C50" t="n">
        <v>3781.5</v>
      </c>
      <c r="D50" t="n">
        <v>10340.2</v>
      </c>
    </row>
    <row r="51">
      <c r="A51" s="3" t="n">
        <v>45877</v>
      </c>
      <c r="B51" t="n">
        <v>13598.1</v>
      </c>
      <c r="C51" t="n">
        <v>3649.5</v>
      </c>
      <c r="D51" t="n">
        <v>9948.6</v>
      </c>
    </row>
    <row r="52">
      <c r="A52" s="3" t="n">
        <v>45878</v>
      </c>
      <c r="B52" t="n">
        <v>13623.2</v>
      </c>
      <c r="C52" t="n">
        <v>3675</v>
      </c>
      <c r="D52" t="n">
        <v>9948.200000000001</v>
      </c>
    </row>
    <row r="53">
      <c r="A53" s="3" t="n">
        <v>45879</v>
      </c>
      <c r="B53" t="n">
        <v>13613.2</v>
      </c>
      <c r="C53" t="n">
        <v>3648</v>
      </c>
      <c r="D53" t="n">
        <v>9965.200000000001</v>
      </c>
    </row>
    <row r="54">
      <c r="A54" s="3" t="n">
        <v>45880</v>
      </c>
      <c r="B54" t="n">
        <v>14062.7</v>
      </c>
      <c r="C54" t="n">
        <v>3601.5</v>
      </c>
      <c r="D54" t="n">
        <v>10461.2</v>
      </c>
    </row>
    <row r="55">
      <c r="A55" s="3" t="n">
        <v>45881</v>
      </c>
      <c r="B55" t="n">
        <v>14072.5</v>
      </c>
      <c r="C55" t="n">
        <v>3646.5</v>
      </c>
      <c r="D55" t="n">
        <v>10426</v>
      </c>
    </row>
    <row r="56">
      <c r="A56" s="3" t="n">
        <v>45882</v>
      </c>
      <c r="B56" t="n">
        <v>14218.7</v>
      </c>
      <c r="C56" t="n">
        <v>3724.5</v>
      </c>
      <c r="D56" t="n">
        <v>10494.2</v>
      </c>
    </row>
    <row r="57">
      <c r="A57" s="3" t="n">
        <v>45883</v>
      </c>
      <c r="B57" t="n">
        <v>14287.2</v>
      </c>
      <c r="C57" t="n">
        <v>3795</v>
      </c>
      <c r="D57" t="n">
        <v>10492.2</v>
      </c>
    </row>
    <row r="58">
      <c r="A58" s="3" t="n">
        <v>45884</v>
      </c>
      <c r="B58" t="n">
        <v>13985.7</v>
      </c>
      <c r="C58" t="n">
        <v>3733.5</v>
      </c>
      <c r="D58" t="n">
        <v>10252.2</v>
      </c>
    </row>
    <row r="59">
      <c r="A59" s="3" t="n">
        <v>45885</v>
      </c>
      <c r="B59" t="n">
        <v>14204.1</v>
      </c>
      <c r="C59" t="n">
        <v>3712.5</v>
      </c>
      <c r="D59" t="n">
        <v>10491.6</v>
      </c>
    </row>
    <row r="60">
      <c r="A60" s="3" t="n">
        <v>45886</v>
      </c>
      <c r="B60" t="n">
        <v>14392.6</v>
      </c>
      <c r="C60" t="n">
        <v>3738</v>
      </c>
      <c r="D60" t="n">
        <v>10654.6</v>
      </c>
    </row>
    <row r="61">
      <c r="A61" s="3" t="n">
        <v>45887</v>
      </c>
      <c r="B61" t="n">
        <v>14641.6</v>
      </c>
      <c r="C61" t="n">
        <v>3813</v>
      </c>
      <c r="D61" t="n">
        <v>10828.6</v>
      </c>
    </row>
    <row r="62">
      <c r="A62" s="3" t="n">
        <v>45888</v>
      </c>
      <c r="B62" t="n">
        <v>14415.5</v>
      </c>
      <c r="C62" t="n">
        <v>3778.5</v>
      </c>
      <c r="D62" t="n">
        <v>10637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20" customWidth="1" min="4" max="4"/>
  </cols>
  <sheetData>
    <row r="1">
      <c r="A1" s="2" t="inlineStr">
        <is>
          <t>YearMonth</t>
        </is>
      </c>
      <c r="B1" s="2" t="inlineStr">
        <is>
          <t>Expense</t>
        </is>
      </c>
      <c r="C1" s="2" t="inlineStr">
        <is>
          <t>Income</t>
        </is>
      </c>
      <c r="D1" s="2" t="inlineStr">
        <is>
          <t>Net</t>
        </is>
      </c>
    </row>
    <row r="2">
      <c r="A2" t="inlineStr">
        <is>
          <t>2025-07</t>
        </is>
      </c>
      <c r="B2" t="n">
        <v>-15485.45</v>
      </c>
      <c r="C2" t="n">
        <v>6000</v>
      </c>
      <c r="D2" t="n">
        <v>-9485.450000000001</v>
      </c>
    </row>
    <row r="3">
      <c r="A3" t="inlineStr">
        <is>
          <t>2025-08</t>
        </is>
      </c>
      <c r="B3" t="n">
        <v>-285.72</v>
      </c>
      <c r="C3" t="n">
        <v>450</v>
      </c>
      <c r="D3" t="n">
        <v>164.28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7" customWidth="1" min="1" max="1"/>
    <col width="39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Portfolio Value</t>
        </is>
      </c>
      <c r="B2" s="4">
        <f>SUM(Holdings!F2:F3)</f>
        <v/>
      </c>
    </row>
    <row r="3">
      <c r="A3" t="inlineStr">
        <is>
          <t>Total Cost Basis</t>
        </is>
      </c>
      <c r="B3" s="4">
        <f>SUM(Holdings!D2:D3)</f>
        <v/>
      </c>
    </row>
    <row r="4">
      <c r="A4" t="inlineStr">
        <is>
          <t>Total Unrealized Gain</t>
        </is>
      </c>
      <c r="B4" s="4">
        <f>SUM(Holdings!G2:G3)</f>
        <v/>
      </c>
    </row>
    <row r="5">
      <c r="A5" t="inlineStr">
        <is>
          <t>Monthly Income (last full month)</t>
        </is>
      </c>
      <c r="B5" s="4">
        <f>SUMIF(Cashflow!A:A,B13,Cashflow!B:B)</f>
        <v/>
      </c>
    </row>
    <row r="6">
      <c r="A6" t="inlineStr">
        <is>
          <t>Monthly Expenses (last full month)</t>
        </is>
      </c>
      <c r="B6" s="4">
        <f>SUMIF(Cashflow!A:A,B13,Cashflow!C:C)</f>
        <v/>
      </c>
    </row>
    <row r="7">
      <c r="A7" t="inlineStr">
        <is>
          <t>Net Cashflow (last full month)</t>
        </is>
      </c>
      <c r="B7" s="4">
        <f>SUMIF(Cashflow!A:A,B13,Cashflow!D:D)</f>
        <v/>
      </c>
    </row>
    <row r="8">
      <c r="A8" t="inlineStr">
        <is>
          <t>Monthly Expense Baseline (Settings)</t>
        </is>
      </c>
      <c r="B8" s="5">
        <f>Settings!B2</f>
        <v/>
      </c>
    </row>
    <row r="9">
      <c r="A9" t="inlineStr">
        <is>
          <t>Safe Withdrawal Rate % (Settings)</t>
        </is>
      </c>
      <c r="B9" s="4">
        <f>Settings!B3</f>
        <v/>
      </c>
    </row>
    <row r="10">
      <c r="A10" t="inlineStr">
        <is>
          <t>Target Retirement Income Monthly</t>
        </is>
      </c>
      <c r="B10" s="4">
        <f>Settings!B4</f>
        <v/>
      </c>
    </row>
    <row r="11">
      <c r="A11" t="inlineStr">
        <is>
          <t>Required Nest Egg (Baseline/SWR)</t>
        </is>
      </c>
      <c r="B11" s="5">
        <f>(Settings!B2*12)/(Settings!B3/100)</f>
        <v/>
      </c>
    </row>
    <row r="12">
      <c r="A12" t="inlineStr">
        <is>
          <t>Funded Ratio (Portfolio / Required)</t>
        </is>
      </c>
      <c r="B12">
        <f>B2/B10</f>
        <v/>
      </c>
    </row>
    <row r="13">
      <c r="A13" s="2" t="inlineStr">
        <is>
          <t>Last Full Month (YYYY-MM)</t>
        </is>
      </c>
      <c r="B13">
        <f>TEXT(EDATE(TODAY(),-1),yyyy-mm)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IntelIntent Investment Dashboard</t>
        </is>
      </c>
    </row>
    <row r="3">
      <c r="A3" s="2" t="inlineStr">
        <is>
          <t>Symbol</t>
        </is>
      </c>
      <c r="B3" s="2" t="inlineStr">
        <is>
          <t>MarketValue</t>
        </is>
      </c>
    </row>
    <row r="4">
      <c r="A4">
        <f>Holdings!B2</f>
        <v/>
      </c>
      <c r="B4">
        <f>Holdings!F2</f>
        <v/>
      </c>
    </row>
    <row r="5">
      <c r="A5">
        <f>Holdings!B3</f>
        <v/>
      </c>
      <c r="B5">
        <f>Holdings!F3</f>
        <v/>
      </c>
    </row>
    <row r="6">
      <c r="A6" s="2" t="inlineStr">
        <is>
          <t>Total Portfolio Value:</t>
        </is>
      </c>
      <c r="B6" s="4">
        <f>Summary!B2</f>
        <v/>
      </c>
    </row>
    <row r="7">
      <c r="A7" s="2" t="inlineStr">
        <is>
          <t>Unrealized Gain:</t>
        </is>
      </c>
      <c r="B7" s="4">
        <f>Summary!B4</f>
        <v/>
      </c>
    </row>
    <row r="8">
      <c r="A8" s="2" t="inlineStr">
        <is>
          <t>Funded Ratio:</t>
        </is>
      </c>
      <c r="B8" s="5">
        <f>Summary!B11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2025-08-19T00:19:41Z</dcterms:created>
  <dcterms:modified xmlns:dcterms="http://purl.org/dc/terms/" xmlns:xsi="http://www.w3.org/2001/XMLSchema-instance" xsi:type="dcterms:W3CDTF">2025-08-19T00:19:41Z</dcterms:modified>
</cp:coreProperties>
</file>